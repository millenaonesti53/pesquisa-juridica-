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· Capa" sheetId="1" state="visible" r:id="rId1"/>
    <sheet xmlns:r="http://schemas.openxmlformats.org/officeDocument/2006/relationships" name="02 · Idade × Custo Etário" sheetId="2" state="visible" r:id="rId2"/>
    <sheet xmlns:r="http://schemas.openxmlformats.org/officeDocument/2006/relationships" name="03 · Gastos com processo" sheetId="3" state="visible" r:id="rId3"/>
    <sheet xmlns:r="http://schemas.openxmlformats.org/officeDocument/2006/relationships" name="04 · Aluguel e moradia" sheetId="4" state="visible" r:id="rId4"/>
    <sheet xmlns:r="http://schemas.openxmlformats.org/officeDocument/2006/relationships" name="05 · Lazer" sheetId="5" state="visible" r:id="rId5"/>
    <sheet xmlns:r="http://schemas.openxmlformats.org/officeDocument/2006/relationships" name="06 · Comparativo Consolidado" sheetId="6" state="visible" r:id="rId6"/>
    <sheet xmlns:r="http://schemas.openxmlformats.org/officeDocument/2006/relationships" name="07 · Indicadores foca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&quot;–&quot;"/>
    <numFmt numFmtId="165" formatCode="0.0%;[Red]-0.0%;&quot;–&quot;"/>
  </numFmts>
  <fonts count="15">
    <font>
      <name val="Calibri"/>
      <family val="2"/>
      <color theme="1"/>
      <sz val="11"/>
      <scheme val="minor"/>
    </font>
    <font>
      <name val="Calibri"/>
      <b val="1"/>
      <color rgb="001B3A5B"/>
      <sz val="18"/>
    </font>
    <font>
      <name val="Calibri"/>
      <i val="1"/>
      <color rgb="00555555"/>
      <sz val="12"/>
    </font>
    <font>
      <name val="Calibri"/>
      <b val="1"/>
      <color rgb="0015212E"/>
      <sz val="10"/>
    </font>
    <font>
      <name val="Calibri"/>
      <color rgb="0015212E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15212E"/>
      <sz val="9"/>
    </font>
    <font>
      <name val="Calibri"/>
      <b val="1"/>
      <color rgb="00FFFFFF"/>
      <sz val="11"/>
    </font>
    <font>
      <name val="Calibri"/>
      <color rgb="00B00020"/>
      <sz val="10"/>
    </font>
    <font>
      <name val="Calibri"/>
      <b val="1"/>
      <color rgb="00B00020"/>
      <sz val="10"/>
    </font>
    <font>
      <name val="Calibri"/>
      <b val="1"/>
      <color rgb="0015212E"/>
      <sz val="9"/>
    </font>
    <font>
      <name val="Calibri"/>
      <sz val="10"/>
    </font>
    <font>
      <name val="Calibr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5F8FC"/>
      </patternFill>
    </fill>
    <fill>
      <patternFill patternType="solid">
        <fgColor rgb="001B3A5B"/>
      </patternFill>
    </fill>
    <fill>
      <patternFill patternType="solid">
        <fgColor rgb="00FFF8E1"/>
      </patternFill>
    </fill>
    <fill>
      <patternFill patternType="solid">
        <fgColor rgb="00FDECEF"/>
      </patternFill>
    </fill>
  </fills>
  <borders count="2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9" fillId="3" borderId="0" pivotButton="0" quotePrefix="0" xfId="0"/>
    <xf numFmtId="164" fontId="4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165" fontId="13" fillId="0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11" fillId="4" borderId="1" applyAlignment="1" pivotButton="0" quotePrefix="0" xfId="0">
      <alignment horizontal="right" vertical="center"/>
    </xf>
    <xf numFmtId="0" fontId="14" fillId="3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0" customWidth="1" min="3" max="3"/>
  </cols>
  <sheetData>
    <row r="2">
      <c r="B2" s="1" t="inlineStr">
        <is>
          <t>56 · ANÁLISE COMPARATIVA FOCAL — GASTOS 2023 × 2026</t>
        </is>
      </c>
    </row>
    <row r="3">
      <c r="B3" s="2" t="inlineStr">
        <is>
          <t>Filhos por faixa etária · processo · aluguel · lazer</t>
        </is>
      </c>
    </row>
    <row r="5" ht="32" customHeight="1">
      <c r="B5" s="3" t="inlineStr">
        <is>
          <t>Processo principal</t>
        </is>
      </c>
      <c r="C5" s="4" t="inlineStr">
        <is>
          <t>1006744-58.2023.8.26.0011 — 1ª VFS Pinheiros/SP</t>
        </is>
      </c>
    </row>
    <row r="6" ht="32" customHeight="1">
      <c r="B6" s="3" t="inlineStr">
        <is>
          <t>Constituinte</t>
        </is>
      </c>
      <c r="C6" s="4" t="inlineStr">
        <is>
          <t>Millena Onesti Gorenstein · CPF 006.064.549-00 · mulher PCD · substituição de patrocínio (CPC art. 112)</t>
        </is>
      </c>
    </row>
    <row r="7" ht="32" customHeight="1">
      <c r="B7" s="3" t="inlineStr">
        <is>
          <t>Filhos menores em comum</t>
        </is>
      </c>
      <c r="C7" s="4" t="inlineStr">
        <is>
          <t>Filha Maia (carta autógrafa nos autos · 9 anos em 2026 → 6 anos em 2023) e outro filho menor (gravação em transporte público com falas espontâneas do genitor · idade a confirmar nos autos)</t>
        </is>
      </c>
    </row>
    <row r="8" ht="32" customHeight="1">
      <c r="B8" s="3" t="inlineStr">
        <is>
          <t>Patronos</t>
        </is>
      </c>
      <c r="C8" s="4" t="inlineStr">
        <is>
          <t>Dra. Michele P. Hilgenberg (OAB/SC 41.607) · Dr. Luiz Carlos Guieseler Junior (OAB/PR 44.937)</t>
        </is>
      </c>
    </row>
    <row r="9" ht="32" customHeight="1">
      <c r="B9" s="3" t="inlineStr">
        <is>
          <t>Acervo de referência</t>
        </is>
      </c>
      <c r="C9" s="4" t="inlineStr">
        <is>
          <t>Documentos 00–55 do repositório PhD</t>
        </is>
      </c>
    </row>
    <row r="10" ht="32" customHeight="1">
      <c r="B10" s="3" t="inlineStr">
        <is>
          <t>Documento</t>
        </is>
      </c>
      <c r="C10" s="4" t="inlineStr">
        <is>
          <t>Doc 56 — análise comparativa focal em 4 categorias com idade dos filhos como variável</t>
        </is>
      </c>
    </row>
    <row r="12">
      <c r="B12" s="5" t="inlineStr">
        <is>
          <t>ABAS DO INSTRUMENTO</t>
        </is>
      </c>
    </row>
    <row r="14" ht="24" customHeight="1">
      <c r="B14" s="6" t="inlineStr">
        <is>
          <t>Aba 02 · Idade dos filhos × custo etário</t>
        </is>
      </c>
      <c r="C14" s="4" t="inlineStr">
        <is>
          <t>Matriz de idade por janela (2023, 2024, 2025, 2026) e custo etário-padrão associado</t>
        </is>
      </c>
    </row>
    <row r="15" ht="24" customHeight="1">
      <c r="B15" s="6" t="inlineStr">
        <is>
          <t>Aba 03 · Gastos com processo</t>
        </is>
      </c>
      <c r="C15" s="4" t="inlineStr">
        <is>
          <t>Honorários · perícias · pareceres · custas — anual e acumulado</t>
        </is>
      </c>
    </row>
    <row r="16" ht="24" customHeight="1">
      <c r="B16" s="6" t="inlineStr">
        <is>
          <t>Aba 04 · Aluguel e moradia</t>
        </is>
      </c>
      <c r="C16" s="4" t="inlineStr">
        <is>
          <t>Aluguel · condomínio · IPTU · utilidades — mensal e anual</t>
        </is>
      </c>
    </row>
    <row r="17" ht="24" customHeight="1">
      <c r="B17" s="6" t="inlineStr">
        <is>
          <t>Aba 05 · Lazer</t>
        </is>
      </c>
      <c r="C17" s="4" t="inlineStr">
        <is>
          <t>Lazer da requerente · lazer dos filhos · viagens · cultura</t>
        </is>
      </c>
    </row>
    <row r="18" ht="24" customHeight="1">
      <c r="B18" s="6" t="inlineStr">
        <is>
          <t>Aba 06 · Comparativo consolidado</t>
        </is>
      </c>
      <c r="C18" s="4" t="inlineStr">
        <is>
          <t>Síntese 4 categorias × 4 anos · variação por janela</t>
        </is>
      </c>
    </row>
    <row r="19" ht="24" customHeight="1">
      <c r="B19" s="6" t="inlineStr">
        <is>
          <t>Aba 07 · Indicadores focais</t>
        </is>
      </c>
      <c r="C19" s="4" t="inlineStr">
        <is>
          <t>Custo por filho · % renda em moradia · custo do litígio por dia · privação de lazer</t>
        </is>
      </c>
    </row>
  </sheetData>
  <mergeCells count="3">
    <mergeCell ref="B3:C3"/>
    <mergeCell ref="B2:C2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26" customWidth="1" min="6" max="6"/>
    <col width="38" customWidth="1" min="7" max="7"/>
  </cols>
  <sheetData>
    <row r="1">
      <c r="A1" s="5" t="inlineStr">
        <is>
          <t>IDADE DOS FILHOS E CUSTO ETÁRIO ASSOCIADO — 2023, 2024, 2025, 2026</t>
        </is>
      </c>
    </row>
    <row r="3" ht="30" customHeight="1">
      <c r="A3" s="7" t="inlineStr">
        <is>
          <t>Categoria etária</t>
        </is>
      </c>
      <c r="B3" s="7" t="inlineStr">
        <is>
          <t>2023</t>
        </is>
      </c>
      <c r="C3" s="7" t="inlineStr">
        <is>
          <t>2024</t>
        </is>
      </c>
      <c r="D3" s="7" t="inlineStr">
        <is>
          <t>2025</t>
        </is>
      </c>
      <c r="E3" s="7" t="inlineStr">
        <is>
          <t>2026</t>
        </is>
      </c>
      <c r="F3" s="7" t="inlineStr">
        <is>
          <t>Marcadores do estágio</t>
        </is>
      </c>
      <c r="G3" s="7" t="inlineStr">
        <is>
          <t>Observação forense</t>
        </is>
      </c>
    </row>
    <row r="4" ht="28" customHeight="1">
      <c r="A4" s="3" t="inlineStr">
        <is>
          <t>Filha Maia · idade</t>
        </is>
      </c>
      <c r="B4" s="8" t="n">
        <v>6</v>
      </c>
      <c r="C4" s="8" t="n">
        <v>7</v>
      </c>
      <c r="D4" s="8" t="n">
        <v>8</v>
      </c>
      <c r="E4" s="8" t="n">
        <v>9</v>
      </c>
      <c r="F4" s="9" t="inlineStr">
        <is>
          <t>Educação infantil → 1º ciclo fundamental</t>
        </is>
      </c>
      <c r="G4" s="9" t="inlineStr">
        <is>
          <t>Carta autógrafa nos autos (Doc 11) · custo crescente educacional</t>
        </is>
      </c>
    </row>
    <row r="5" ht="28" customHeight="1">
      <c r="A5" s="3" t="inlineStr">
        <is>
          <t>Outro filho menor · idade</t>
        </is>
      </c>
      <c r="B5" s="8" t="inlineStr">
        <is>
          <t>[a confirmar]</t>
        </is>
      </c>
      <c r="C5" s="8" t="inlineStr"/>
      <c r="D5" s="8" t="inlineStr"/>
      <c r="E5" s="8" t="inlineStr"/>
      <c r="F5" s="9" t="inlineStr">
        <is>
          <t>Idade compatível com capacidade técnica de gravação em transporte público</t>
        </is>
      </c>
      <c r="G5" s="9" t="inlineStr">
        <is>
          <t>Doc 11 · falas espontâneas do genitor registradas pelo filho</t>
        </is>
      </c>
    </row>
    <row r="6" ht="28" customHeight="1">
      <c r="A6" s="3" t="inlineStr">
        <is>
          <t>Faixa etária predominante</t>
        </is>
      </c>
      <c r="B6" s="8" t="inlineStr">
        <is>
          <t>infância (6–9)</t>
        </is>
      </c>
      <c r="C6" s="8" t="inlineStr"/>
      <c r="D6" s="8" t="inlineStr"/>
      <c r="E6" s="8" t="inlineStr">
        <is>
          <t>infância tardia / pré-adolescência</t>
        </is>
      </c>
      <c r="F6" s="9" t="inlineStr">
        <is>
          <t>Custo cresce com idade — externos, esportes, idiomas, eletrônicos</t>
        </is>
      </c>
      <c r="G6" s="9" t="inlineStr">
        <is>
          <t>Curva clássica de custo educacional CFC e CRC</t>
        </is>
      </c>
    </row>
    <row r="8">
      <c r="A8" s="10" t="inlineStr">
        <is>
          <t>MATRIZ DE CUSTO ETÁRIO POR CATEGORIA — PADRÃO POR FILHO (R$ MENSAL · A PREENCHER)</t>
        </is>
      </c>
    </row>
    <row r="10">
      <c r="A10" s="7" t="inlineStr">
        <is>
          <t>Categoria de custo etário</t>
        </is>
      </c>
      <c r="B10" s="7" t="inlineStr">
        <is>
          <t>Custo 2023</t>
        </is>
      </c>
      <c r="C10" s="7" t="inlineStr">
        <is>
          <t>Custo 2024</t>
        </is>
      </c>
      <c r="D10" s="7" t="inlineStr">
        <is>
          <t>Custo 2025</t>
        </is>
      </c>
      <c r="E10" s="7" t="inlineStr">
        <is>
          <t>Custo 2026</t>
        </is>
      </c>
      <c r="F10" s="7" t="inlineStr">
        <is>
          <t>Δ 2023→2026</t>
        </is>
      </c>
      <c r="G10" s="7" t="inlineStr">
        <is>
          <t>Observação</t>
        </is>
      </c>
    </row>
    <row r="11">
      <c r="A11" s="4" t="inlineStr">
        <is>
          <t>Educação (mensalidade escolar)</t>
        </is>
      </c>
      <c r="B11" s="11" t="n"/>
      <c r="C11" s="11" t="n"/>
      <c r="D11" s="11" t="n"/>
      <c r="E11" s="11" t="n"/>
      <c r="F11" s="12">
        <f>IFERROR(E11-B11,"")</f>
        <v/>
      </c>
      <c r="G11" s="9" t="inlineStr">
        <is>
          <t>Curva crescente: ensino infantil → fundamental I → fundamental II</t>
        </is>
      </c>
    </row>
    <row r="12">
      <c r="A12" s="4" t="inlineStr">
        <is>
          <t>Material didático + uniformes (anual ÷ 12)</t>
        </is>
      </c>
      <c r="B12" s="11" t="n"/>
      <c r="C12" s="11" t="n"/>
      <c r="D12" s="11" t="n"/>
      <c r="E12" s="11" t="n"/>
      <c r="F12" s="12">
        <f>IFERROR(E12-B12,"")</f>
        <v/>
      </c>
      <c r="G12" s="9" t="inlineStr">
        <is>
          <t>Cresce com idade — listas mais complexas</t>
        </is>
      </c>
    </row>
    <row r="13">
      <c r="A13" s="4" t="inlineStr">
        <is>
          <t>Transporte escolar / aplicativos</t>
        </is>
      </c>
      <c r="B13" s="11" t="n"/>
      <c r="C13" s="11" t="n"/>
      <c r="D13" s="11" t="n"/>
      <c r="E13" s="11" t="n"/>
      <c r="F13" s="12">
        <f>IFERROR(E13-B13,"")</f>
        <v/>
      </c>
      <c r="G13" s="9" t="inlineStr">
        <is>
          <t>Estável até pré-adolescência</t>
        </is>
      </c>
    </row>
    <row r="14">
      <c r="A14" s="4" t="inlineStr">
        <is>
          <t>Atividades extracurriculares (esportes)</t>
        </is>
      </c>
      <c r="B14" s="11" t="n"/>
      <c r="C14" s="11" t="n"/>
      <c r="D14" s="11" t="n"/>
      <c r="E14" s="11" t="n"/>
      <c r="F14" s="12">
        <f>IFERROR(E14-B14,"")</f>
        <v/>
      </c>
      <c r="G14" s="9" t="inlineStr">
        <is>
          <t>Cresce com idade — clube · escolinha · federada</t>
        </is>
      </c>
    </row>
    <row r="15">
      <c r="A15" s="4" t="inlineStr">
        <is>
          <t>Atividades extracurriculares (artes)</t>
        </is>
      </c>
      <c r="B15" s="11" t="n"/>
      <c r="C15" s="11" t="n"/>
      <c r="D15" s="11" t="n"/>
      <c r="E15" s="11" t="n"/>
      <c r="F15" s="12">
        <f>IFERROR(E15-B15,"")</f>
        <v/>
      </c>
      <c r="G15" s="9" t="inlineStr">
        <is>
          <t>Música · teatro · arte plástica — cresce</t>
        </is>
      </c>
    </row>
    <row r="16">
      <c r="A16" s="4" t="inlineStr">
        <is>
          <t>Atividades extracurriculares (idiomas)</t>
        </is>
      </c>
      <c r="B16" s="11" t="n"/>
      <c r="C16" s="11" t="n"/>
      <c r="D16" s="11" t="n"/>
      <c r="E16" s="11" t="n"/>
      <c r="F16" s="12">
        <f>IFERROR(E16-B16,"")</f>
        <v/>
      </c>
      <c r="G16" s="9" t="inlineStr">
        <is>
          <t>Tende a entrar a partir de 8-10 anos</t>
        </is>
      </c>
    </row>
    <row r="17">
      <c r="A17" s="4" t="inlineStr">
        <is>
          <t>Plano de saúde (mensalidade do dependente)</t>
        </is>
      </c>
      <c r="B17" s="11" t="n"/>
      <c r="C17" s="11" t="n"/>
      <c r="D17" s="11" t="n"/>
      <c r="E17" s="11" t="n"/>
      <c r="F17" s="12">
        <f>IFERROR(E17-B17,"")</f>
        <v/>
      </c>
      <c r="G17" s="9" t="inlineStr">
        <is>
          <t>Cresce por faixa etária — reajuste contratual</t>
        </is>
      </c>
    </row>
    <row r="18">
      <c r="A18" s="4" t="inlineStr">
        <is>
          <t>Saúde — consultas e exames particulares</t>
        </is>
      </c>
      <c r="B18" s="11" t="n"/>
      <c r="C18" s="11" t="n"/>
      <c r="D18" s="11" t="n"/>
      <c r="E18" s="11" t="n"/>
      <c r="F18" s="12">
        <f>IFERROR(E18-B18,"")</f>
        <v/>
      </c>
      <c r="G18" s="9" t="inlineStr">
        <is>
          <t>Estável a crescente com a idade</t>
        </is>
      </c>
    </row>
    <row r="19">
      <c r="A19" s="4" t="inlineStr">
        <is>
          <t>Medicação (se prescrita)</t>
        </is>
      </c>
      <c r="B19" s="11" t="n"/>
      <c r="C19" s="11" t="n"/>
      <c r="D19" s="11" t="n"/>
      <c r="E19" s="11" t="n"/>
      <c r="F19" s="12">
        <f>IFERROR(E19-B19,"")</f>
        <v/>
      </c>
      <c r="G19" s="9" t="inlineStr">
        <is>
          <t>Específico por demanda clínica</t>
        </is>
      </c>
    </row>
    <row r="20">
      <c r="A20" s="4" t="inlineStr">
        <is>
          <t>Psicoterapia / acompanhamento psicossocial</t>
        </is>
      </c>
      <c r="B20" s="11" t="n"/>
      <c r="C20" s="11" t="n"/>
      <c r="D20" s="11" t="n"/>
      <c r="E20" s="11" t="n"/>
      <c r="F20" s="12">
        <f>IFERROR(E20-B20,"")</f>
        <v/>
      </c>
      <c r="G20" s="9" t="inlineStr">
        <is>
          <t>Decorrente da situação de violência + suspeita de abuso (sogro)</t>
        </is>
      </c>
    </row>
    <row r="21">
      <c r="A21" s="4" t="inlineStr">
        <is>
          <t>Alimentação atribuída por filho</t>
        </is>
      </c>
      <c r="B21" s="11" t="n"/>
      <c r="C21" s="11" t="n"/>
      <c r="D21" s="11" t="n"/>
      <c r="E21" s="11" t="n"/>
      <c r="F21" s="12">
        <f>IFERROR(E21-B21,"")</f>
        <v/>
      </c>
      <c r="G21" s="9" t="inlineStr">
        <is>
          <t>Cresce com idade — em torno de 12-15% maior por ano</t>
        </is>
      </c>
    </row>
    <row r="22">
      <c r="A22" s="4" t="inlineStr">
        <is>
          <t>Vestuário e calçados</t>
        </is>
      </c>
      <c r="B22" s="11" t="n"/>
      <c r="C22" s="11" t="n"/>
      <c r="D22" s="11" t="n"/>
      <c r="E22" s="11" t="n"/>
      <c r="F22" s="12">
        <f>IFERROR(E22-B22,"")</f>
        <v/>
      </c>
      <c r="G22" s="9" t="inlineStr">
        <is>
          <t>Cresce com idade — duas trocas anuais</t>
        </is>
      </c>
    </row>
    <row r="23">
      <c r="A23" s="4" t="inlineStr">
        <is>
          <t>Tecnologia (celular · tablet · acessórios)</t>
        </is>
      </c>
      <c r="B23" s="11" t="n"/>
      <c r="C23" s="11" t="n"/>
      <c r="D23" s="11" t="n"/>
      <c r="E23" s="11" t="n"/>
      <c r="F23" s="12">
        <f>IFERROR(E23-B23,"")</f>
        <v/>
      </c>
      <c r="G23" s="9" t="inlineStr">
        <is>
          <t>A partir de 9-10 anos · custo de manutenção</t>
        </is>
      </c>
    </row>
    <row r="24">
      <c r="A24" s="4" t="inlineStr">
        <is>
          <t>Lazer (próprio dos filhos)</t>
        </is>
      </c>
      <c r="B24" s="11" t="n"/>
      <c r="C24" s="11" t="n"/>
      <c r="D24" s="11" t="n"/>
      <c r="E24" s="11" t="n"/>
      <c r="F24" s="12">
        <f>IFERROR(E24-B24,"")</f>
        <v/>
      </c>
      <c r="G24" s="9" t="inlineStr">
        <is>
          <t>Festas · cinema · viagens curtas</t>
        </is>
      </c>
    </row>
    <row r="25">
      <c r="A25" s="6" t="inlineStr">
        <is>
          <t>Custo per capita total / filho · mês</t>
        </is>
      </c>
      <c r="B25" s="13">
        <f>SUM(B11:B24)</f>
        <v/>
      </c>
      <c r="C25" s="13">
        <f>SUM(C11:C24)</f>
        <v/>
      </c>
      <c r="D25" s="13">
        <f>SUM(D11:D24)</f>
        <v/>
      </c>
      <c r="E25" s="13">
        <f>SUM(E11:E24)</f>
        <v/>
      </c>
      <c r="F25" s="13">
        <f>IFERROR(E25-B25,"")</f>
        <v/>
      </c>
      <c r="G25" s="14" t="inlineStr">
        <is>
          <t>Soma das linhas acima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36" customWidth="1" min="8" max="8"/>
  </cols>
  <sheetData>
    <row r="1">
      <c r="A1" s="5" t="inlineStr">
        <is>
          <t>GASTOS COM PROCESSO — HONORÁRIOS · PERÍCIAS · PARECERES · CUSTAS</t>
        </is>
      </c>
    </row>
    <row r="3" ht="30" customHeight="1">
      <c r="A3" s="7" t="inlineStr">
        <is>
          <t>Categoria</t>
        </is>
      </c>
      <c r="B3" s="7" t="inlineStr">
        <is>
          <t>Item</t>
        </is>
      </c>
      <c r="C3" s="7" t="inlineStr">
        <is>
          <t>2023 anual</t>
        </is>
      </c>
      <c r="D3" s="7" t="inlineStr">
        <is>
          <t>2024 anual</t>
        </is>
      </c>
      <c r="E3" s="7" t="inlineStr">
        <is>
          <t>2025 anual</t>
        </is>
      </c>
      <c r="F3" s="7" t="inlineStr">
        <is>
          <t>2026 anual</t>
        </is>
      </c>
      <c r="G3" s="7" t="inlineStr">
        <is>
          <t>Acumulado</t>
        </is>
      </c>
      <c r="H3" s="7" t="inlineStr">
        <is>
          <t>Observação forense</t>
        </is>
      </c>
    </row>
    <row r="4">
      <c r="A4" s="15" t="inlineStr">
        <is>
          <t>Honorários adv.</t>
        </is>
      </c>
      <c r="B4" s="4" t="inlineStr">
        <is>
          <t>Patrona anterior (renunciou 15/05/2026)</t>
        </is>
      </c>
      <c r="C4" s="11" t="n"/>
      <c r="D4" s="11" t="n"/>
      <c r="E4" s="11" t="n"/>
      <c r="F4" s="11" t="n"/>
      <c r="G4" s="11">
        <f>IFERROR(SUM(C4:F4),"")</f>
        <v/>
      </c>
      <c r="H4" s="9" t="inlineStr">
        <is>
          <t>Doc 11 cita 15 processos críticos em curso na data da renúncia</t>
        </is>
      </c>
    </row>
    <row r="5">
      <c r="A5" s="15" t="inlineStr">
        <is>
          <t>Honorários adv.</t>
        </is>
      </c>
      <c r="B5" s="4" t="inlineStr">
        <is>
          <t>Banca atual — Dra. Michele Hilgenberg (OAB/SC)</t>
        </is>
      </c>
      <c r="C5" s="11" t="n"/>
      <c r="D5" s="11" t="n"/>
      <c r="E5" s="11" t="n"/>
      <c r="F5" s="11" t="n"/>
      <c r="G5" s="11">
        <f>IFERROR(SUM(C5:F5),"")</f>
        <v/>
      </c>
      <c r="H5" s="9" t="inlineStr">
        <is>
          <t>Contrato vigente em 2026</t>
        </is>
      </c>
    </row>
    <row r="6">
      <c r="A6" s="15" t="inlineStr">
        <is>
          <t>Honorários adv.</t>
        </is>
      </c>
      <c r="B6" s="4" t="inlineStr">
        <is>
          <t>Banca atual — Dr. Luiz Carlos Guieseler Junior (OAB/PR)</t>
        </is>
      </c>
      <c r="C6" s="11" t="n"/>
      <c r="D6" s="11" t="n"/>
      <c r="E6" s="11" t="n"/>
      <c r="F6" s="11" t="n"/>
      <c r="G6" s="11">
        <f>IFERROR(SUM(C6:F6),"")</f>
        <v/>
      </c>
      <c r="H6" s="9" t="inlineStr">
        <is>
          <t>Contrato vigente em 2026</t>
        </is>
      </c>
    </row>
    <row r="7">
      <c r="A7" s="15" t="inlineStr">
        <is>
          <t>Honorários adv.</t>
        </is>
      </c>
      <c r="B7" s="4" t="inlineStr">
        <is>
          <t>Orçamentos avaliados de bancas sucessoras</t>
        </is>
      </c>
      <c r="C7" s="11" t="n"/>
      <c r="D7" s="11" t="n"/>
      <c r="E7" s="11" t="n"/>
      <c r="F7" s="11" t="n"/>
      <c r="G7" s="11">
        <f>IFERROR(SUM(C7:F7),"")</f>
        <v/>
      </c>
      <c r="H7" s="9" t="inlineStr">
        <is>
          <t>Doc 11: orçamentos abusivos · captura econômica</t>
        </is>
      </c>
    </row>
    <row r="8">
      <c r="A8" s="15" t="inlineStr">
        <is>
          <t>Perícias técnicas</t>
        </is>
      </c>
      <c r="B8" s="4" t="inlineStr">
        <is>
          <t>Perícia contábil-forense (preparação)</t>
        </is>
      </c>
      <c r="C8" s="11" t="n"/>
      <c r="D8" s="11" t="n"/>
      <c r="E8" s="11" t="n"/>
      <c r="F8" s="11" t="n"/>
      <c r="G8" s="11">
        <f>IFERROR(SUM(C8:F8),"")</f>
        <v/>
      </c>
      <c r="H8" s="9" t="inlineStr">
        <is>
          <t>Subsídio aos Docs 22, 41, 55</t>
        </is>
      </c>
    </row>
    <row r="9">
      <c r="A9" s="15" t="inlineStr">
        <is>
          <t>Perícias técnicas</t>
        </is>
      </c>
      <c r="B9" s="4" t="inlineStr">
        <is>
          <t>Perícia grafotécnica</t>
        </is>
      </c>
      <c r="C9" s="11" t="n"/>
      <c r="D9" s="11" t="n"/>
      <c r="E9" s="11" t="n"/>
      <c r="F9" s="11" t="n"/>
      <c r="G9" s="11">
        <f>IFERROR(SUM(C9:F9),"")</f>
        <v/>
      </c>
      <c r="H9" s="9" t="inlineStr">
        <is>
          <t>Se aplicável</t>
        </is>
      </c>
    </row>
    <row r="10">
      <c r="A10" s="15" t="inlineStr">
        <is>
          <t>Perícias técnicas</t>
        </is>
      </c>
      <c r="B10" s="4" t="inlineStr">
        <is>
          <t>Avaliação patrimonial / valuation independente</t>
        </is>
      </c>
      <c r="C10" s="11" t="n"/>
      <c r="D10" s="11" t="n"/>
      <c r="E10" s="11" t="n"/>
      <c r="F10" s="11" t="n"/>
      <c r="G10" s="11">
        <f>IFERROR(SUM(C10:F10),"")</f>
        <v/>
      </c>
      <c r="H10" s="9" t="inlineStr">
        <is>
          <t>Subsídio à correção PL 14,5× (Doc 41)</t>
        </is>
      </c>
    </row>
    <row r="11">
      <c r="A11" s="15" t="inlineStr">
        <is>
          <t>Pareceres</t>
        </is>
      </c>
      <c r="B11" s="4" t="inlineStr">
        <is>
          <t>Pareceres jurídicos — proteção de direitos humanos (CNJ 492/2023)</t>
        </is>
      </c>
      <c r="C11" s="11" t="n"/>
      <c r="D11" s="11" t="n"/>
      <c r="E11" s="11" t="n"/>
      <c r="F11" s="11" t="n"/>
      <c r="G11" s="11">
        <f>IFERROR(SUM(C11:F11),"")</f>
        <v/>
      </c>
      <c r="H11" s="9" t="inlineStr">
        <is>
          <t>—</t>
        </is>
      </c>
    </row>
    <row r="12">
      <c r="A12" s="15" t="inlineStr">
        <is>
          <t>Pareceres</t>
        </is>
      </c>
      <c r="B12" s="4" t="inlineStr">
        <is>
          <t>Pareceres contábeis-fiscais</t>
        </is>
      </c>
      <c r="C12" s="11" t="n"/>
      <c r="D12" s="11" t="n"/>
      <c r="E12" s="11" t="n"/>
      <c r="F12" s="11" t="n"/>
      <c r="G12" s="11">
        <f>IFERROR(SUM(C12:F12),"")</f>
        <v/>
      </c>
      <c r="H12" s="9" t="inlineStr">
        <is>
          <t>—</t>
        </is>
      </c>
    </row>
    <row r="13">
      <c r="A13" s="15" t="inlineStr">
        <is>
          <t>Pareceres</t>
        </is>
      </c>
      <c r="B13" s="4" t="inlineStr">
        <is>
          <t>Pareceres M&amp;A e valuation</t>
        </is>
      </c>
      <c r="C13" s="11" t="n"/>
      <c r="D13" s="11" t="n"/>
      <c r="E13" s="11" t="n"/>
      <c r="F13" s="11" t="n"/>
      <c r="G13" s="11">
        <f>IFERROR(SUM(C13:F13),"")</f>
        <v/>
      </c>
      <c r="H13" s="9" t="inlineStr">
        <is>
          <t>Subsídio Docs 22, 23, 41</t>
        </is>
      </c>
    </row>
    <row r="14">
      <c r="A14" s="15" t="inlineStr">
        <is>
          <t>Saúde decorrente</t>
        </is>
      </c>
      <c r="B14" s="4" t="inlineStr">
        <is>
          <t>Atestado psiquiátrico Dr. Ivan Rodrigues</t>
        </is>
      </c>
      <c r="C14" s="11" t="n"/>
      <c r="D14" s="11" t="n"/>
      <c r="E14" s="11" t="n"/>
      <c r="F14" s="11" t="n"/>
      <c r="G14" s="11">
        <f>IFERROR(SUM(C14:F14),"")</f>
        <v/>
      </c>
      <c r="H14" s="9" t="inlineStr">
        <is>
          <t>CRM-SP 162488 · RQE 87014 · 05/05/2026</t>
        </is>
      </c>
    </row>
    <row r="15">
      <c r="A15" s="15" t="inlineStr">
        <is>
          <t>Saúde decorrente</t>
        </is>
      </c>
      <c r="B15" s="4" t="inlineStr">
        <is>
          <t>Psiquiatria contínua (CID F33 + F90)</t>
        </is>
      </c>
      <c r="C15" s="11" t="n"/>
      <c r="D15" s="11" t="n"/>
      <c r="E15" s="11" t="n"/>
      <c r="F15" s="11" t="n"/>
      <c r="G15" s="11">
        <f>IFERROR(SUM(C15:F15),"")</f>
        <v/>
      </c>
      <c r="H15" s="9" t="inlineStr">
        <is>
          <t>Sem remissão clínica</t>
        </is>
      </c>
    </row>
    <row r="16">
      <c r="A16" s="15" t="inlineStr">
        <is>
          <t>Saúde decorrente</t>
        </is>
      </c>
      <c r="B16" s="4" t="inlineStr">
        <is>
          <t>Medicação contínua</t>
        </is>
      </c>
      <c r="C16" s="11" t="n"/>
      <c r="D16" s="11" t="n"/>
      <c r="E16" s="11" t="n"/>
      <c r="F16" s="11" t="n"/>
      <c r="G16" s="11">
        <f>IFERROR(SUM(C16:F16),"")</f>
        <v/>
      </c>
      <c r="H16" s="9" t="inlineStr">
        <is>
          <t>—</t>
        </is>
      </c>
    </row>
    <row r="17">
      <c r="A17" s="15" t="inlineStr">
        <is>
          <t>Saúde decorrente</t>
        </is>
      </c>
      <c r="B17" s="4" t="inlineStr">
        <is>
          <t>Psicoterapia da requerente</t>
        </is>
      </c>
      <c r="C17" s="11" t="n"/>
      <c r="D17" s="11" t="n"/>
      <c r="E17" s="11" t="n"/>
      <c r="F17" s="11" t="n"/>
      <c r="G17" s="11">
        <f>IFERROR(SUM(C17:F17),"")</f>
        <v/>
      </c>
      <c r="H17" s="9" t="inlineStr">
        <is>
          <t>—</t>
        </is>
      </c>
    </row>
    <row r="18">
      <c r="A18" s="15" t="inlineStr">
        <is>
          <t>Saúde decorrente</t>
        </is>
      </c>
      <c r="B18" s="4" t="inlineStr">
        <is>
          <t>Acompanhamento psicossocial dos filhos</t>
        </is>
      </c>
      <c r="C18" s="11" t="n"/>
      <c r="D18" s="11" t="n"/>
      <c r="E18" s="11" t="n"/>
      <c r="F18" s="11" t="n"/>
      <c r="G18" s="11">
        <f>IFERROR(SUM(C18:F18),"")</f>
        <v/>
      </c>
      <c r="H18" s="9" t="inlineStr">
        <is>
          <t>Suspeita de abuso pelo atual sogro — IP em curso</t>
        </is>
      </c>
    </row>
    <row r="19">
      <c r="A19" s="15" t="inlineStr">
        <is>
          <t>Custas e diligências</t>
        </is>
      </c>
      <c r="B19" s="4" t="inlineStr">
        <is>
          <t>Custas iniciais e intermediárias</t>
        </is>
      </c>
      <c r="C19" s="11" t="n"/>
      <c r="D19" s="11" t="n"/>
      <c r="E19" s="11" t="n"/>
      <c r="F19" s="11" t="n"/>
      <c r="G19" s="11">
        <f>IFERROR(SUM(C19:F19),"")</f>
        <v/>
      </c>
      <c r="H19" s="9" t="inlineStr">
        <is>
          <t>—</t>
        </is>
      </c>
    </row>
    <row r="20">
      <c r="A20" s="15" t="inlineStr">
        <is>
          <t>Custas e diligências</t>
        </is>
      </c>
      <c r="B20" s="4" t="inlineStr">
        <is>
          <t>Despesas com perícias judiciais oficiais</t>
        </is>
      </c>
      <c r="C20" s="11" t="n"/>
      <c r="D20" s="11" t="n"/>
      <c r="E20" s="11" t="n"/>
      <c r="F20" s="11" t="n"/>
      <c r="G20" s="11">
        <f>IFERROR(SUM(C20:F20),"")</f>
        <v/>
      </c>
      <c r="H20" s="9" t="inlineStr">
        <is>
          <t>Perícia psicossocial — Doc 11 III.3</t>
        </is>
      </c>
    </row>
    <row r="21">
      <c r="A21" s="15" t="inlineStr">
        <is>
          <t>Custas e diligências</t>
        </is>
      </c>
      <c r="B21" s="4" t="inlineStr">
        <is>
          <t>Cópias autenticadas · cartório · diligências</t>
        </is>
      </c>
      <c r="C21" s="11" t="n"/>
      <c r="D21" s="11" t="n"/>
      <c r="E21" s="11" t="n"/>
      <c r="F21" s="11" t="n"/>
      <c r="G21" s="11">
        <f>IFERROR(SUM(C21:F21),"")</f>
        <v/>
      </c>
      <c r="H21" s="9" t="inlineStr">
        <is>
          <t>—</t>
        </is>
      </c>
    </row>
    <row r="22">
      <c r="A22" s="15" t="inlineStr">
        <is>
          <t>Custas e diligências</t>
        </is>
      </c>
      <c r="B22" s="4" t="inlineStr">
        <is>
          <t>Deslocamento à comarca</t>
        </is>
      </c>
      <c r="C22" s="11" t="n"/>
      <c r="D22" s="11" t="n"/>
      <c r="E22" s="11" t="n"/>
      <c r="F22" s="11" t="n"/>
      <c r="G22" s="11">
        <f>IFERROR(SUM(C22:F22),"")</f>
        <v/>
      </c>
      <c r="H22" s="9" t="inlineStr">
        <is>
          <t>—</t>
        </is>
      </c>
    </row>
    <row r="23">
      <c r="B23" s="6" t="inlineStr">
        <is>
          <t>TOTAL GASTOS COM PROCESSO</t>
        </is>
      </c>
      <c r="C23" s="13">
        <f>SUM(C4:C22)</f>
        <v/>
      </c>
      <c r="D23" s="13">
        <f>SUM(D4:D22)</f>
        <v/>
      </c>
      <c r="E23" s="13">
        <f>SUM(E4:E22)</f>
        <v/>
      </c>
      <c r="F23" s="13">
        <f>SUM(F4:F22)</f>
        <v/>
      </c>
      <c r="G23" s="13">
        <f>SUM(G4:G22)</f>
        <v/>
      </c>
    </row>
    <row r="24">
      <c r="B24" s="16" t="inlineStr">
        <is>
          <t>Benchmark Doc 11 — gasto acumulado estimado em defesa, perícias e saúde decorrente</t>
        </is>
      </c>
      <c r="G24" s="17" t="n">
        <v>1000000</v>
      </c>
      <c r="H24" s="18" t="inlineStr">
        <is>
          <t>≈ R$ 1.000.000 — Doc 11, Seção III.4 · a refinar pelas faturas e contratos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28" customWidth="1" min="9" max="9"/>
  </cols>
  <sheetData>
    <row r="1">
      <c r="A1" s="5" t="inlineStr">
        <is>
          <t>ALUGUEL E MORADIA — 2023 × 2026</t>
        </is>
      </c>
    </row>
    <row r="3" ht="30" customHeight="1">
      <c r="A3" s="7" t="inlineStr">
        <is>
          <t>Categoria</t>
        </is>
      </c>
      <c r="B3" s="7" t="inlineStr">
        <is>
          <t>Item</t>
        </is>
      </c>
      <c r="C3" s="7" t="inlineStr">
        <is>
          <t>2023 mensal</t>
        </is>
      </c>
      <c r="D3" s="7" t="inlineStr">
        <is>
          <t>2023 anual</t>
        </is>
      </c>
      <c r="E3" s="7" t="inlineStr">
        <is>
          <t>2026 mensal</t>
        </is>
      </c>
      <c r="F3" s="7" t="inlineStr">
        <is>
          <t>2026 anual</t>
        </is>
      </c>
      <c r="G3" s="7" t="inlineStr">
        <is>
          <t>Δ Anual</t>
        </is>
      </c>
      <c r="H3" s="7" t="inlineStr">
        <is>
          <t>Δ %</t>
        </is>
      </c>
      <c r="I3" s="7" t="inlineStr">
        <is>
          <t>Observação</t>
        </is>
      </c>
    </row>
    <row r="4">
      <c r="A4" s="15" t="inlineStr">
        <is>
          <t>Aluguel principal</t>
        </is>
      </c>
      <c r="B4" s="4" t="inlineStr">
        <is>
          <t>Aluguel mensal — residência principal</t>
        </is>
      </c>
      <c r="C4" s="11" t="n"/>
      <c r="D4" s="11">
        <f>IF(C4="","",C4*12)</f>
        <v/>
      </c>
      <c r="E4" s="11" t="n"/>
      <c r="F4" s="11">
        <f>IF(E4="","",E4*12)</f>
        <v/>
      </c>
      <c r="G4" s="11">
        <f>IFERROR(F4-D4,"")</f>
        <v/>
      </c>
      <c r="H4" s="19">
        <f>IFERROR((F4-D4)/D4,"")</f>
        <v/>
      </c>
      <c r="I4" s="9" t="inlineStr">
        <is>
          <t>Identificar bairro · reajuste contratual</t>
        </is>
      </c>
    </row>
    <row r="5">
      <c r="A5" s="15" t="inlineStr">
        <is>
          <t>Aluguel principal</t>
        </is>
      </c>
      <c r="B5" s="4" t="inlineStr">
        <is>
          <t>Caução depositada</t>
        </is>
      </c>
      <c r="C5" s="11" t="n"/>
      <c r="D5" s="11">
        <f>IF(C5="","",C5*12)</f>
        <v/>
      </c>
      <c r="E5" s="11" t="n"/>
      <c r="F5" s="11">
        <f>IF(E5="","",E5*12)</f>
        <v/>
      </c>
      <c r="G5" s="11">
        <f>IFERROR(F5-D5,"")</f>
        <v/>
      </c>
      <c r="H5" s="19">
        <f>IFERROR((F5-D5)/D5,"")</f>
        <v/>
      </c>
      <c r="I5" s="9" t="inlineStr">
        <is>
          <t>—</t>
        </is>
      </c>
    </row>
    <row r="6">
      <c r="A6" s="15" t="inlineStr">
        <is>
          <t>Aluguel principal</t>
        </is>
      </c>
      <c r="B6" s="4" t="inlineStr">
        <is>
          <t>Seguro fiança · seguro incêndio</t>
        </is>
      </c>
      <c r="C6" s="11" t="n"/>
      <c r="D6" s="11">
        <f>IF(C6="","",C6*12)</f>
        <v/>
      </c>
      <c r="E6" s="11" t="n"/>
      <c r="F6" s="11">
        <f>IF(E6="","",E6*12)</f>
        <v/>
      </c>
      <c r="G6" s="11">
        <f>IFERROR(F6-D6,"")</f>
        <v/>
      </c>
      <c r="H6" s="19">
        <f>IFERROR((F6-D6)/D6,"")</f>
        <v/>
      </c>
      <c r="I6" s="9" t="inlineStr">
        <is>
          <t>Obrigatório por contrato locatício</t>
        </is>
      </c>
    </row>
    <row r="7">
      <c r="A7" s="15" t="inlineStr">
        <is>
          <t>Encargos</t>
        </is>
      </c>
      <c r="B7" s="4" t="inlineStr">
        <is>
          <t>Condomínio</t>
        </is>
      </c>
      <c r="C7" s="11" t="n"/>
      <c r="D7" s="11">
        <f>IF(C7="","",C7*12)</f>
        <v/>
      </c>
      <c r="E7" s="11" t="n"/>
      <c r="F7" s="11">
        <f>IF(E7="","",E7*12)</f>
        <v/>
      </c>
      <c r="G7" s="11">
        <f>IFERROR(F7-D7,"")</f>
        <v/>
      </c>
      <c r="H7" s="19">
        <f>IFERROR((F7-D7)/D7,"")</f>
        <v/>
      </c>
      <c r="I7" s="9" t="inlineStr">
        <is>
          <t>Apurar reajustes — assembleia</t>
        </is>
      </c>
    </row>
    <row r="8">
      <c r="A8" s="15" t="inlineStr">
        <is>
          <t>Encargos</t>
        </is>
      </c>
      <c r="B8" s="4" t="inlineStr">
        <is>
          <t>IPTU (parcela mensal)</t>
        </is>
      </c>
      <c r="C8" s="11" t="n"/>
      <c r="D8" s="11">
        <f>IF(C8="","",C8*12)</f>
        <v/>
      </c>
      <c r="E8" s="11" t="n"/>
      <c r="F8" s="11">
        <f>IF(E8="","",E8*12)</f>
        <v/>
      </c>
      <c r="G8" s="11">
        <f>IFERROR(F8-D8,"")</f>
        <v/>
      </c>
      <c r="H8" s="19">
        <f>IFERROR((F8-D8)/D8,"")</f>
        <v/>
      </c>
      <c r="I8" s="9" t="inlineStr">
        <is>
          <t>Município de SP · valor venal · reajustes</t>
        </is>
      </c>
    </row>
    <row r="9">
      <c r="A9" s="15" t="inlineStr">
        <is>
          <t>Utilidades</t>
        </is>
      </c>
      <c r="B9" s="4" t="inlineStr">
        <is>
          <t>Conta de luz</t>
        </is>
      </c>
      <c r="C9" s="11" t="n"/>
      <c r="D9" s="11">
        <f>IF(C9="","",C9*12)</f>
        <v/>
      </c>
      <c r="E9" s="11" t="n"/>
      <c r="F9" s="11">
        <f>IF(E9="","",E9*12)</f>
        <v/>
      </c>
      <c r="G9" s="11">
        <f>IFERROR(F9-D9,"")</f>
        <v/>
      </c>
      <c r="H9" s="19">
        <f>IFERROR((F9-D9)/D9,"")</f>
        <v/>
      </c>
      <c r="I9" s="9" t="inlineStr">
        <is>
          <t>—</t>
        </is>
      </c>
    </row>
    <row r="10">
      <c r="A10" s="15" t="inlineStr">
        <is>
          <t>Utilidades</t>
        </is>
      </c>
      <c r="B10" s="4" t="inlineStr">
        <is>
          <t>Conta de água</t>
        </is>
      </c>
      <c r="C10" s="11" t="n"/>
      <c r="D10" s="11">
        <f>IF(C10="","",C10*12)</f>
        <v/>
      </c>
      <c r="E10" s="11" t="n"/>
      <c r="F10" s="11">
        <f>IF(E10="","",E10*12)</f>
        <v/>
      </c>
      <c r="G10" s="11">
        <f>IFERROR(F10-D10,"")</f>
        <v/>
      </c>
      <c r="H10" s="19">
        <f>IFERROR((F10-D10)/D10,"")</f>
        <v/>
      </c>
      <c r="I10" s="9" t="inlineStr">
        <is>
          <t>—</t>
        </is>
      </c>
    </row>
    <row r="11">
      <c r="A11" s="15" t="inlineStr">
        <is>
          <t>Utilidades</t>
        </is>
      </c>
      <c r="B11" s="4" t="inlineStr">
        <is>
          <t>Conta de gás</t>
        </is>
      </c>
      <c r="C11" s="11" t="n"/>
      <c r="D11" s="11">
        <f>IF(C11="","",C11*12)</f>
        <v/>
      </c>
      <c r="E11" s="11" t="n"/>
      <c r="F11" s="11">
        <f>IF(E11="","",E11*12)</f>
        <v/>
      </c>
      <c r="G11" s="11">
        <f>IFERROR(F11-D11,"")</f>
        <v/>
      </c>
      <c r="H11" s="19">
        <f>IFERROR((F11-D11)/D11,"")</f>
        <v/>
      </c>
      <c r="I11" s="9" t="inlineStr">
        <is>
          <t>—</t>
        </is>
      </c>
    </row>
    <row r="12">
      <c r="A12" s="15" t="inlineStr">
        <is>
          <t>Utilidades</t>
        </is>
      </c>
      <c r="B12" s="4" t="inlineStr">
        <is>
          <t>Internet · TV por assinatura</t>
        </is>
      </c>
      <c r="C12" s="11" t="n"/>
      <c r="D12" s="11">
        <f>IF(C12="","",C12*12)</f>
        <v/>
      </c>
      <c r="E12" s="11" t="n"/>
      <c r="F12" s="11">
        <f>IF(E12="","",E12*12)</f>
        <v/>
      </c>
      <c r="G12" s="11">
        <f>IFERROR(F12-D12,"")</f>
        <v/>
      </c>
      <c r="H12" s="19">
        <f>IFERROR((F12-D12)/D12,"")</f>
        <v/>
      </c>
      <c r="I12" s="9" t="inlineStr">
        <is>
          <t>—</t>
        </is>
      </c>
    </row>
    <row r="13">
      <c r="A13" s="15" t="inlineStr">
        <is>
          <t>Utilidades</t>
        </is>
      </c>
      <c r="B13" s="4" t="inlineStr">
        <is>
          <t>Telefone fixo / móvel</t>
        </is>
      </c>
      <c r="C13" s="11" t="n"/>
      <c r="D13" s="11">
        <f>IF(C13="","",C13*12)</f>
        <v/>
      </c>
      <c r="E13" s="11" t="n"/>
      <c r="F13" s="11">
        <f>IF(E13="","",E13*12)</f>
        <v/>
      </c>
      <c r="G13" s="11">
        <f>IFERROR(F13-D13,"")</f>
        <v/>
      </c>
      <c r="H13" s="19">
        <f>IFERROR((F13-D13)/D13,"")</f>
        <v/>
      </c>
      <c r="I13" s="9" t="inlineStr">
        <is>
          <t>—</t>
        </is>
      </c>
    </row>
    <row r="14">
      <c r="A14" s="15" t="inlineStr">
        <is>
          <t>Manutenção</t>
        </is>
      </c>
      <c r="B14" s="4" t="inlineStr">
        <is>
          <t>Reparos · pequenas manutenções</t>
        </is>
      </c>
      <c r="C14" s="11" t="n"/>
      <c r="D14" s="11">
        <f>IF(C14="","",C14*12)</f>
        <v/>
      </c>
      <c r="E14" s="11" t="n"/>
      <c r="F14" s="11">
        <f>IF(E14="","",E14*12)</f>
        <v/>
      </c>
      <c r="G14" s="11">
        <f>IFERROR(F14-D14,"")</f>
        <v/>
      </c>
      <c r="H14" s="19">
        <f>IFERROR((F14-D14)/D14,"")</f>
        <v/>
      </c>
      <c r="I14" s="9" t="inlineStr">
        <is>
          <t>—</t>
        </is>
      </c>
    </row>
    <row r="15">
      <c r="A15" s="15" t="inlineStr">
        <is>
          <t>Manutenção</t>
        </is>
      </c>
      <c r="B15" s="4" t="inlineStr">
        <is>
          <t>Limpeza / serviços domésticos</t>
        </is>
      </c>
      <c r="C15" s="11" t="n"/>
      <c r="D15" s="11">
        <f>IF(C15="","",C15*12)</f>
        <v/>
      </c>
      <c r="E15" s="11" t="n"/>
      <c r="F15" s="11">
        <f>IF(E15="","",E15*12)</f>
        <v/>
      </c>
      <c r="G15" s="11">
        <f>IFERROR(F15-D15,"")</f>
        <v/>
      </c>
      <c r="H15" s="19">
        <f>IFERROR((F15-D15)/D15,"")</f>
        <v/>
      </c>
      <c r="I15" s="9" t="inlineStr">
        <is>
          <t>—</t>
        </is>
      </c>
    </row>
    <row r="16">
      <c r="A16" s="15" t="inlineStr">
        <is>
          <t>Adicional Pompeia</t>
        </is>
      </c>
      <c r="B16" s="4" t="inlineStr">
        <is>
          <t>Identificação do endereço Pompeia</t>
        </is>
      </c>
      <c r="C16" s="11" t="n"/>
      <c r="D16" s="11">
        <f>IF(C16="","",C16*12)</f>
        <v/>
      </c>
      <c r="E16" s="11" t="n"/>
      <c r="F16" s="11">
        <f>IF(E16="","",E16*12)</f>
        <v/>
      </c>
      <c r="G16" s="11">
        <f>IFERROR(F16-D16,"")</f>
        <v/>
      </c>
      <c r="H16" s="19">
        <f>IFERROR((F16-D16)/D16,"")</f>
        <v/>
      </c>
      <c r="I16" s="9" t="inlineStr">
        <is>
          <t>Doc 50 menciona São Paulo · Pompeia</t>
        </is>
      </c>
    </row>
    <row r="17">
      <c r="A17" s="15" t="inlineStr">
        <is>
          <t>Mudança</t>
        </is>
      </c>
      <c r="B17" s="4" t="inlineStr">
        <is>
          <t>Custo de mudança (se houver)</t>
        </is>
      </c>
      <c r="C17" s="11" t="n"/>
      <c r="D17" s="11">
        <f>IF(C17="","",C17*12)</f>
        <v/>
      </c>
      <c r="E17" s="11" t="n"/>
      <c r="F17" s="11">
        <f>IF(E17="","",E17*12)</f>
        <v/>
      </c>
      <c r="G17" s="11">
        <f>IFERROR(F17-D17,"")</f>
        <v/>
      </c>
      <c r="H17" s="19">
        <f>IFERROR((F17-D17)/D17,"")</f>
        <v/>
      </c>
      <c r="I17" s="9" t="inlineStr">
        <is>
          <t>Eventual em razão do litígio</t>
        </is>
      </c>
    </row>
    <row r="18">
      <c r="B18" s="6" t="inlineStr">
        <is>
          <t>TOTAL ALUGUEL + MORADIA</t>
        </is>
      </c>
      <c r="C18" s="13">
        <f>SUM(C4:C17)</f>
        <v/>
      </c>
      <c r="D18" s="13">
        <f>SUM(D4:D17)</f>
        <v/>
      </c>
      <c r="E18" s="13">
        <f>SUM(E4:E17)</f>
        <v/>
      </c>
      <c r="F18" s="13">
        <f>SUM(F4:F17)</f>
        <v/>
      </c>
      <c r="G18" s="13">
        <f>SUM(G4:G17)</f>
        <v/>
      </c>
      <c r="H18" s="20">
        <f>IFERROR((F18-D18)/D18,"")</f>
        <v/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9" customWidth="1" min="8" max="8"/>
    <col width="30" customWidth="1" min="9" max="9"/>
  </cols>
  <sheetData>
    <row r="1">
      <c r="A1" s="5" t="inlineStr">
        <is>
          <t>LAZER — REQUERENTE E FILHOS — 2023 × 2026</t>
        </is>
      </c>
    </row>
    <row r="3" ht="30" customHeight="1">
      <c r="A3" s="7" t="inlineStr">
        <is>
          <t>Categoria</t>
        </is>
      </c>
      <c r="B3" s="7" t="inlineStr">
        <is>
          <t>Item</t>
        </is>
      </c>
      <c r="C3" s="7" t="inlineStr">
        <is>
          <t>2023 mensal</t>
        </is>
      </c>
      <c r="D3" s="7" t="inlineStr">
        <is>
          <t>2023 anual</t>
        </is>
      </c>
      <c r="E3" s="7" t="inlineStr">
        <is>
          <t>2026 mensal</t>
        </is>
      </c>
      <c r="F3" s="7" t="inlineStr">
        <is>
          <t>2026 anual</t>
        </is>
      </c>
      <c r="G3" s="7" t="inlineStr">
        <is>
          <t>Δ Anual</t>
        </is>
      </c>
      <c r="H3" s="7" t="inlineStr">
        <is>
          <t>Δ %</t>
        </is>
      </c>
      <c r="I3" s="7" t="inlineStr">
        <is>
          <t>Observação forense</t>
        </is>
      </c>
    </row>
    <row r="4">
      <c r="A4" s="15" t="inlineStr">
        <is>
          <t>Lazer requerente</t>
        </is>
      </c>
      <c r="B4" s="4" t="inlineStr">
        <is>
          <t>Atividades culturais (cinema · teatro · exposições)</t>
        </is>
      </c>
      <c r="C4" s="11" t="n"/>
      <c r="D4" s="11">
        <f>IF(C4="","",C4*12)</f>
        <v/>
      </c>
      <c r="E4" s="11" t="n"/>
      <c r="F4" s="11">
        <f>IF(E4="","",E4*12)</f>
        <v/>
      </c>
      <c r="G4" s="11">
        <f>IFERROR(F4-D4,"")</f>
        <v/>
      </c>
      <c r="H4" s="19">
        <f>IFERROR((F4-D4)/D4,"")</f>
        <v/>
      </c>
      <c r="I4" s="9" t="inlineStr">
        <is>
          <t>Parcimônia documentada — quadro depressivo F33</t>
        </is>
      </c>
    </row>
    <row r="5">
      <c r="A5" s="15" t="inlineStr">
        <is>
          <t>Lazer requerente</t>
        </is>
      </c>
      <c r="B5" s="4" t="inlineStr">
        <is>
          <t>Atividades físicas (academia · pilates)</t>
        </is>
      </c>
      <c r="C5" s="11" t="n"/>
      <c r="D5" s="11">
        <f>IF(C5="","",C5*12)</f>
        <v/>
      </c>
      <c r="E5" s="11" t="n"/>
      <c r="F5" s="11">
        <f>IF(E5="","",E5*12)</f>
        <v/>
      </c>
      <c r="G5" s="11">
        <f>IFERROR(F5-D5,"")</f>
        <v/>
      </c>
      <c r="H5" s="19">
        <f>IFERROR((F5-D5)/D5,"")</f>
        <v/>
      </c>
      <c r="I5" s="9" t="inlineStr">
        <is>
          <t>Reflexo do tratamento — recomendado p/ TDM</t>
        </is>
      </c>
    </row>
    <row r="6">
      <c r="A6" s="15" t="inlineStr">
        <is>
          <t>Lazer requerente</t>
        </is>
      </c>
      <c r="B6" s="4" t="inlineStr">
        <is>
          <t>Encontros sociais com refeições</t>
        </is>
      </c>
      <c r="C6" s="11" t="n"/>
      <c r="D6" s="11">
        <f>IF(C6="","",C6*12)</f>
        <v/>
      </c>
      <c r="E6" s="11" t="n"/>
      <c r="F6" s="11">
        <f>IF(E6="","",E6*12)</f>
        <v/>
      </c>
      <c r="G6" s="11">
        <f>IFERROR(F6-D6,"")</f>
        <v/>
      </c>
      <c r="H6" s="19">
        <f>IFERROR((F6-D6)/D6,"")</f>
        <v/>
      </c>
      <c r="I6" s="9" t="inlineStr">
        <is>
          <t>Parcimônia em razão do isolamento documentado</t>
        </is>
      </c>
    </row>
    <row r="7">
      <c r="A7" s="15" t="inlineStr">
        <is>
          <t>Lazer requerente</t>
        </is>
      </c>
      <c r="B7" s="4" t="inlineStr">
        <is>
          <t>Viagens próprias (turismo)</t>
        </is>
      </c>
      <c r="C7" s="11" t="n"/>
      <c r="D7" s="11">
        <f>IF(C7="","",C7*12)</f>
        <v/>
      </c>
      <c r="E7" s="11" t="n"/>
      <c r="F7" s="11">
        <f>IF(E7="","",E7*12)</f>
        <v/>
      </c>
      <c r="G7" s="11">
        <f>IFERROR(F7-D7,"")</f>
        <v/>
      </c>
      <c r="H7" s="19">
        <f>IFERROR((F7-D7)/D7,"")</f>
        <v/>
      </c>
      <c r="I7" s="9" t="inlineStr">
        <is>
          <t>Praticamente suprimidas no contexto</t>
        </is>
      </c>
    </row>
    <row r="8">
      <c r="A8" s="15" t="inlineStr">
        <is>
          <t>Lazer requerente</t>
        </is>
      </c>
      <c r="B8" s="4" t="inlineStr">
        <is>
          <t>Hobbies e cursos pessoais</t>
        </is>
      </c>
      <c r="C8" s="11" t="n"/>
      <c r="D8" s="11">
        <f>IF(C8="","",C8*12)</f>
        <v/>
      </c>
      <c r="E8" s="11" t="n"/>
      <c r="F8" s="11">
        <f>IF(E8="","",E8*12)</f>
        <v/>
      </c>
      <c r="G8" s="11">
        <f>IFERROR(F8-D8,"")</f>
        <v/>
      </c>
      <c r="H8" s="19">
        <f>IFERROR((F8-D8)/D8,"")</f>
        <v/>
      </c>
      <c r="I8" s="9" t="inlineStr">
        <is>
          <t>—</t>
        </is>
      </c>
    </row>
    <row r="9">
      <c r="A9" s="15" t="inlineStr">
        <is>
          <t>Lazer dos filhos</t>
        </is>
      </c>
      <c r="B9" s="4" t="inlineStr">
        <is>
          <t>Cinema · parques · teatro infantil</t>
        </is>
      </c>
      <c r="C9" s="11" t="n"/>
      <c r="D9" s="11">
        <f>IF(C9="","",C9*12)</f>
        <v/>
      </c>
      <c r="E9" s="11" t="n"/>
      <c r="F9" s="11">
        <f>IF(E9="","",E9*12)</f>
        <v/>
      </c>
      <c r="G9" s="11">
        <f>IFERROR(F9-D9,"")</f>
        <v/>
      </c>
      <c r="H9" s="19">
        <f>IFERROR((F9-D9)/D9,"")</f>
        <v/>
      </c>
      <c r="I9" s="9" t="inlineStr">
        <is>
          <t>Faixa etária cresce — custos crescem</t>
        </is>
      </c>
    </row>
    <row r="10">
      <c r="A10" s="15" t="inlineStr">
        <is>
          <t>Lazer dos filhos</t>
        </is>
      </c>
      <c r="B10" s="4" t="inlineStr">
        <is>
          <t>Festas de aniversário (próprias e de amigos)</t>
        </is>
      </c>
      <c r="C10" s="11" t="n"/>
      <c r="D10" s="11">
        <f>IF(C10="","",C10*12)</f>
        <v/>
      </c>
      <c r="E10" s="11" t="n"/>
      <c r="F10" s="11">
        <f>IF(E10="","",E10*12)</f>
        <v/>
      </c>
      <c r="G10" s="11">
        <f>IFERROR(F10-D10,"")</f>
        <v/>
      </c>
      <c r="H10" s="19">
        <f>IFERROR((F10-D10)/D10,"")</f>
        <v/>
      </c>
      <c r="I10" s="9" t="inlineStr">
        <is>
          <t>Inclui presentes · convites</t>
        </is>
      </c>
    </row>
    <row r="11">
      <c r="A11" s="15" t="inlineStr">
        <is>
          <t>Lazer dos filhos</t>
        </is>
      </c>
      <c r="B11" s="4" t="inlineStr">
        <is>
          <t>Esportes esporádicos (não os extracurriculares)</t>
        </is>
      </c>
      <c r="C11" s="11" t="n"/>
      <c r="D11" s="11">
        <f>IF(C11="","",C11*12)</f>
        <v/>
      </c>
      <c r="E11" s="11" t="n"/>
      <c r="F11" s="11">
        <f>IF(E11="","",E11*12)</f>
        <v/>
      </c>
      <c r="G11" s="11">
        <f>IFERROR(F11-D11,"")</f>
        <v/>
      </c>
      <c r="H11" s="19">
        <f>IFERROR((F11-D11)/D11,"")</f>
        <v/>
      </c>
      <c r="I11" s="9" t="inlineStr">
        <is>
          <t>Aulas avulsas · clubes</t>
        </is>
      </c>
    </row>
    <row r="12">
      <c r="A12" s="15" t="inlineStr">
        <is>
          <t>Lazer dos filhos</t>
        </is>
      </c>
      <c r="B12" s="4" t="inlineStr">
        <is>
          <t>Atividades educativas extras (museus · zoológicos · ciência)</t>
        </is>
      </c>
      <c r="C12" s="11" t="n"/>
      <c r="D12" s="11">
        <f>IF(C12="","",C12*12)</f>
        <v/>
      </c>
      <c r="E12" s="11" t="n"/>
      <c r="F12" s="11">
        <f>IF(E12="","",E12*12)</f>
        <v/>
      </c>
      <c r="G12" s="11">
        <f>IFERROR(F12-D12,"")</f>
        <v/>
      </c>
      <c r="H12" s="19">
        <f>IFERROR((F12-D12)/D12,"")</f>
        <v/>
      </c>
      <c r="I12" s="9" t="inlineStr">
        <is>
          <t>Educacional + lazer</t>
        </is>
      </c>
    </row>
    <row r="13">
      <c r="A13" s="15" t="inlineStr">
        <is>
          <t>Lazer dos filhos</t>
        </is>
      </c>
      <c r="B13" s="4" t="inlineStr">
        <is>
          <t>Brinquedos · jogos · livros (não escolares)</t>
        </is>
      </c>
      <c r="C13" s="11" t="n"/>
      <c r="D13" s="11">
        <f>IF(C13="","",C13*12)</f>
        <v/>
      </c>
      <c r="E13" s="11" t="n"/>
      <c r="F13" s="11">
        <f>IF(E13="","",E13*12)</f>
        <v/>
      </c>
      <c r="G13" s="11">
        <f>IFERROR(F13-D13,"")</f>
        <v/>
      </c>
      <c r="H13" s="19">
        <f>IFERROR((F13-D13)/D13,"")</f>
        <v/>
      </c>
      <c r="I13" s="9" t="inlineStr">
        <is>
          <t>Cresce com a idade</t>
        </is>
      </c>
    </row>
    <row r="14">
      <c r="A14" s="15" t="inlineStr">
        <is>
          <t>Viagens familiares</t>
        </is>
      </c>
      <c r="B14" s="4" t="inlineStr">
        <is>
          <t>Viagens curtas (fim de semana)</t>
        </is>
      </c>
      <c r="C14" s="11" t="n"/>
      <c r="D14" s="11">
        <f>IF(C14="","",C14*12)</f>
        <v/>
      </c>
      <c r="E14" s="11" t="n"/>
      <c r="F14" s="11">
        <f>IF(E14="","",E14*12)</f>
        <v/>
      </c>
      <c r="G14" s="11">
        <f>IFERROR(F14-D14,"")</f>
        <v/>
      </c>
      <c r="H14" s="19">
        <f>IFERROR((F14-D14)/D14,"")</f>
        <v/>
      </c>
      <c r="I14" s="9" t="inlineStr">
        <is>
          <t>Drasticamente reduzidas pelo contexto</t>
        </is>
      </c>
    </row>
    <row r="15">
      <c r="A15" s="15" t="inlineStr">
        <is>
          <t>Viagens familiares</t>
        </is>
      </c>
      <c r="B15" s="4" t="inlineStr">
        <is>
          <t>Férias (uma semana ou mais)</t>
        </is>
      </c>
      <c r="C15" s="11" t="n"/>
      <c r="D15" s="11">
        <f>IF(C15="","",C15*12)</f>
        <v/>
      </c>
      <c r="E15" s="11" t="n"/>
      <c r="F15" s="11">
        <f>IF(E15="","",E15*12)</f>
        <v/>
      </c>
      <c r="G15" s="11">
        <f>IFERROR(F15-D15,"")</f>
        <v/>
      </c>
      <c r="H15" s="19">
        <f>IFERROR((F15-D15)/D15,"")</f>
        <v/>
      </c>
      <c r="I15" s="9" t="inlineStr">
        <is>
          <t>Suprimidas em razão da contenção financeira</t>
        </is>
      </c>
    </row>
    <row r="16">
      <c r="A16" s="15" t="inlineStr">
        <is>
          <t>Tecnologia / streaming</t>
        </is>
      </c>
      <c r="B16" s="4" t="inlineStr">
        <is>
          <t>Streaming (Netflix · Spotify · etc.)</t>
        </is>
      </c>
      <c r="C16" s="11" t="n"/>
      <c r="D16" s="11">
        <f>IF(C16="","",C16*12)</f>
        <v/>
      </c>
      <c r="E16" s="11" t="n"/>
      <c r="F16" s="11">
        <f>IF(E16="","",E16*12)</f>
        <v/>
      </c>
      <c r="G16" s="11">
        <f>IFERROR(F16-D16,"")</f>
        <v/>
      </c>
      <c r="H16" s="19">
        <f>IFERROR((F16-D16)/D16,"")</f>
        <v/>
      </c>
      <c r="I16" s="9" t="inlineStr">
        <is>
          <t>Pode ter sido suprimido em ajuste fino</t>
        </is>
      </c>
    </row>
    <row r="17">
      <c r="A17" s="15" t="inlineStr">
        <is>
          <t>Tecnologia / streaming</t>
        </is>
      </c>
      <c r="B17" s="4" t="inlineStr">
        <is>
          <t>Jogos · aplicativos in-app</t>
        </is>
      </c>
      <c r="C17" s="11" t="n"/>
      <c r="D17" s="11">
        <f>IF(C17="","",C17*12)</f>
        <v/>
      </c>
      <c r="E17" s="11" t="n"/>
      <c r="F17" s="11">
        <f>IF(E17="","",E17*12)</f>
        <v/>
      </c>
      <c r="G17" s="11">
        <f>IFERROR(F17-D17,"")</f>
        <v/>
      </c>
      <c r="H17" s="19">
        <f>IFERROR((F17-D17)/D17,"")</f>
        <v/>
      </c>
      <c r="I17" s="9" t="inlineStr">
        <is>
          <t>—</t>
        </is>
      </c>
    </row>
    <row r="18">
      <c r="B18" s="6" t="inlineStr">
        <is>
          <t>TOTAL LAZER</t>
        </is>
      </c>
      <c r="C18" s="13">
        <f>SUM(C4:C17)</f>
        <v/>
      </c>
      <c r="D18" s="13">
        <f>SUM(D4:D17)</f>
        <v/>
      </c>
      <c r="E18" s="13">
        <f>SUM(E4:E17)</f>
        <v/>
      </c>
      <c r="F18" s="13">
        <f>SUM(F4:F17)</f>
        <v/>
      </c>
      <c r="G18" s="13">
        <f>SUM(G4:G17)</f>
        <v/>
      </c>
      <c r="H18" s="20">
        <f>IFERROR((F18-D18)/D18,"")</f>
        <v/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9" customWidth="1" min="8" max="8"/>
    <col width="36" customWidth="1" min="9" max="9"/>
  </cols>
  <sheetData>
    <row r="1">
      <c r="A1" s="5" t="inlineStr">
        <is>
          <t>SÍNTESE 4 CATEGORIAS × 4 ANOS — VARIAÇÃO POR JANELA</t>
        </is>
      </c>
    </row>
    <row r="3" ht="30" customHeight="1">
      <c r="A3" s="7" t="inlineStr">
        <is>
          <t>Categoria</t>
        </is>
      </c>
      <c r="B3" s="7" t="inlineStr">
        <is>
          <t>2023 anual</t>
        </is>
      </c>
      <c r="C3" s="7" t="inlineStr">
        <is>
          <t>2024 anual</t>
        </is>
      </c>
      <c r="D3" s="7" t="inlineStr">
        <is>
          <t>2025 anual</t>
        </is>
      </c>
      <c r="E3" s="7" t="inlineStr">
        <is>
          <t>2026 anual</t>
        </is>
      </c>
      <c r="F3" s="7" t="inlineStr">
        <is>
          <t>Acumulado</t>
        </is>
      </c>
      <c r="G3" s="7" t="inlineStr">
        <is>
          <t>Δ 2023→2026</t>
        </is>
      </c>
      <c r="H3" s="7" t="inlineStr">
        <is>
          <t>Δ %</t>
        </is>
      </c>
      <c r="I3" s="7" t="inlineStr">
        <is>
          <t>Comentário forense</t>
        </is>
      </c>
    </row>
    <row r="4" ht="24" customHeight="1">
      <c r="A4" s="4" t="inlineStr">
        <is>
          <t>FILHO 1 (Maia) — custo total / ano</t>
        </is>
      </c>
      <c r="B4" s="11" t="n"/>
      <c r="C4" s="11" t="n"/>
      <c r="D4" s="11" t="n"/>
      <c r="E4" s="11" t="n"/>
      <c r="F4" s="11" t="n"/>
      <c r="G4" s="12">
        <f>IFERROR(E4-B4,"")</f>
        <v/>
      </c>
      <c r="H4" s="19">
        <f>IFERROR((E4-B4)/B4,"")</f>
        <v/>
      </c>
      <c r="I4" s="9" t="inlineStr">
        <is>
          <t>Curva crescente educacional + extracurriculares — esperada elevação natural</t>
        </is>
      </c>
    </row>
    <row r="5" ht="24" customHeight="1">
      <c r="A5" s="4" t="inlineStr">
        <is>
          <t>FILHO 2 — custo total / ano</t>
        </is>
      </c>
      <c r="B5" s="11" t="n"/>
      <c r="C5" s="11" t="n"/>
      <c r="D5" s="11" t="n"/>
      <c r="E5" s="11" t="n"/>
      <c r="F5" s="11" t="n"/>
      <c r="G5" s="12">
        <f>IFERROR(E5-B5,"")</f>
        <v/>
      </c>
      <c r="H5" s="19">
        <f>IFERROR((E5-B5)/B5,"")</f>
        <v/>
      </c>
      <c r="I5" s="9" t="inlineStr">
        <is>
          <t>Análoga ao filho 1, com curva próxima conforme idade</t>
        </is>
      </c>
    </row>
    <row r="6" ht="24" customHeight="1">
      <c r="A6" s="6" t="inlineStr">
        <is>
          <t>Subtotal — FILHOS</t>
        </is>
      </c>
      <c r="B6" s="13" t="n"/>
      <c r="C6" s="13" t="n"/>
      <c r="D6" s="13" t="n"/>
      <c r="E6" s="13" t="n"/>
      <c r="F6" s="13" t="n"/>
      <c r="G6" s="21">
        <f>IFERROR(E6-B6,"")</f>
        <v/>
      </c>
      <c r="H6" s="20">
        <f>IFERROR((E6-B6)/B6,"")</f>
        <v/>
      </c>
      <c r="I6" s="14" t="inlineStr">
        <is>
          <t>Soma · sustenta indicador 'custo per capita / filho · mês'</t>
        </is>
      </c>
    </row>
    <row r="7" ht="24" customHeight="1">
      <c r="A7" s="4" t="inlineStr">
        <is>
          <t>PROCESSO — honorários</t>
        </is>
      </c>
      <c r="B7" s="11" t="n"/>
      <c r="C7" s="11" t="n"/>
      <c r="D7" s="11" t="n"/>
      <c r="E7" s="11" t="n"/>
      <c r="F7" s="11" t="n"/>
      <c r="G7" s="12">
        <f>IFERROR(E7-B7,"")</f>
        <v/>
      </c>
      <c r="H7" s="19">
        <f>IFERROR((E7-B7)/B7,"")</f>
        <v/>
      </c>
      <c r="I7" s="9" t="inlineStr">
        <is>
          <t>Inflado pela renúncia da patrona em 15/05/2026 e pelas 15 demandas críticas</t>
        </is>
      </c>
    </row>
    <row r="8" ht="24" customHeight="1">
      <c r="A8" s="4" t="inlineStr">
        <is>
          <t>PROCESSO — perícias</t>
        </is>
      </c>
      <c r="B8" s="11" t="n"/>
      <c r="C8" s="11" t="n"/>
      <c r="D8" s="11" t="n"/>
      <c r="E8" s="11" t="n"/>
      <c r="F8" s="11" t="n"/>
      <c r="G8" s="12">
        <f>IFERROR(E8-B8,"")</f>
        <v/>
      </c>
      <c r="H8" s="19">
        <f>IFERROR((E8-B8)/B8,"")</f>
        <v/>
      </c>
      <c r="I8" s="9" t="inlineStr">
        <is>
          <t>Cresce com o aprofundamento da fase instrutória</t>
        </is>
      </c>
    </row>
    <row r="9" ht="24" customHeight="1">
      <c r="A9" s="4" t="inlineStr">
        <is>
          <t>PROCESSO — saúde decorrente</t>
        </is>
      </c>
      <c r="B9" s="11" t="n"/>
      <c r="C9" s="11" t="n"/>
      <c r="D9" s="11" t="n"/>
      <c r="E9" s="11" t="n"/>
      <c r="F9" s="11" t="n"/>
      <c r="G9" s="12">
        <f>IFERROR(E9-B9,"")</f>
        <v/>
      </c>
      <c r="H9" s="19">
        <f>IFERROR((E9-B9)/B9,"")</f>
        <v/>
      </c>
      <c r="I9" s="9" t="inlineStr">
        <is>
          <t>Atestado documenta · sem remissão · custo contínuo</t>
        </is>
      </c>
    </row>
    <row r="10" ht="24" customHeight="1">
      <c r="A10" s="6" t="inlineStr">
        <is>
          <t>Subtotal — PROCESSO</t>
        </is>
      </c>
      <c r="B10" s="13" t="n"/>
      <c r="C10" s="13" t="n"/>
      <c r="D10" s="13" t="n"/>
      <c r="E10" s="13" t="n"/>
      <c r="F10" s="13" t="n"/>
      <c r="G10" s="21">
        <f>IFERROR(E10-B10,"")</f>
        <v/>
      </c>
      <c r="H10" s="20">
        <f>IFERROR((E10-B10)/B10,"")</f>
        <v/>
      </c>
      <c r="I10" s="14" t="inlineStr">
        <is>
          <t>Benchmark Doc 11 ≈ R$ 1 MM acumulado</t>
        </is>
      </c>
    </row>
    <row r="11" ht="24" customHeight="1">
      <c r="A11" s="4" t="inlineStr">
        <is>
          <t>ALUGUEL — aluguel principal</t>
        </is>
      </c>
      <c r="B11" s="11" t="n"/>
      <c r="C11" s="11" t="n"/>
      <c r="D11" s="11" t="n"/>
      <c r="E11" s="11" t="n"/>
      <c r="F11" s="11" t="n"/>
      <c r="G11" s="12">
        <f>IFERROR(E11-B11,"")</f>
        <v/>
      </c>
      <c r="H11" s="19">
        <f>IFERROR((E11-B11)/B11,"")</f>
        <v/>
      </c>
      <c r="I11" s="9" t="inlineStr">
        <is>
          <t>Reajuste IGP-M / IPCA · contrato</t>
        </is>
      </c>
    </row>
    <row r="12" ht="24" customHeight="1">
      <c r="A12" s="4" t="inlineStr">
        <is>
          <t>ALUGUEL — encargos e utilidades</t>
        </is>
      </c>
      <c r="B12" s="11" t="n"/>
      <c r="C12" s="11" t="n"/>
      <c r="D12" s="11" t="n"/>
      <c r="E12" s="11" t="n"/>
      <c r="F12" s="11" t="n"/>
      <c r="G12" s="12">
        <f>IFERROR(E12-B12,"")</f>
        <v/>
      </c>
      <c r="H12" s="19">
        <f>IFERROR((E12-B12)/B12,"")</f>
        <v/>
      </c>
      <c r="I12" s="9" t="inlineStr">
        <is>
          <t>Variação típica anual</t>
        </is>
      </c>
    </row>
    <row r="13" ht="24" customHeight="1">
      <c r="A13" s="6" t="inlineStr">
        <is>
          <t>Subtotal — ALUGUEL e MORADIA</t>
        </is>
      </c>
      <c r="B13" s="13" t="n"/>
      <c r="C13" s="13" t="n"/>
      <c r="D13" s="13" t="n"/>
      <c r="E13" s="13" t="n"/>
      <c r="F13" s="13" t="n"/>
      <c r="G13" s="21">
        <f>IFERROR(E13-B13,"")</f>
        <v/>
      </c>
      <c r="H13" s="20">
        <f>IFERROR((E13-B13)/B13,"")</f>
        <v/>
      </c>
      <c r="I13" s="14" t="inlineStr">
        <is>
          <t>Função do bairro · tamanho · proteção dos filhos</t>
        </is>
      </c>
    </row>
    <row r="14" ht="24" customHeight="1">
      <c r="A14" s="4" t="inlineStr">
        <is>
          <t>LAZER — requerente</t>
        </is>
      </c>
      <c r="B14" s="11" t="n"/>
      <c r="C14" s="11" t="n"/>
      <c r="D14" s="11" t="n"/>
      <c r="E14" s="11" t="n"/>
      <c r="F14" s="11" t="n"/>
      <c r="G14" s="12">
        <f>IFERROR(E14-B14,"")</f>
        <v/>
      </c>
      <c r="H14" s="19">
        <f>IFERROR((E14-B14)/B14,"")</f>
        <v/>
      </c>
      <c r="I14" s="9" t="inlineStr">
        <is>
          <t>Curva esperadamente decrescente em razão do TDM e do contexto financeiro</t>
        </is>
      </c>
    </row>
    <row r="15" ht="24" customHeight="1">
      <c r="A15" s="4" t="inlineStr">
        <is>
          <t>LAZER — filhos</t>
        </is>
      </c>
      <c r="B15" s="11" t="n"/>
      <c r="C15" s="11" t="n"/>
      <c r="D15" s="11" t="n"/>
      <c r="E15" s="11" t="n"/>
      <c r="F15" s="11" t="n"/>
      <c r="G15" s="12">
        <f>IFERROR(E15-B15,"")</f>
        <v/>
      </c>
      <c r="H15" s="19">
        <f>IFERROR((E15-B15)/B15,"")</f>
        <v/>
      </c>
      <c r="I15" s="9" t="inlineStr">
        <is>
          <t>Crescente com idade · mas contido pela contenção financeira da requerente</t>
        </is>
      </c>
    </row>
    <row r="16" ht="24" customHeight="1">
      <c r="A16" s="6" t="inlineStr">
        <is>
          <t>Subtotal — LAZER</t>
        </is>
      </c>
      <c r="B16" s="13" t="n"/>
      <c r="C16" s="13" t="n"/>
      <c r="D16" s="13" t="n"/>
      <c r="E16" s="13" t="n"/>
      <c r="F16" s="13" t="n"/>
      <c r="G16" s="21">
        <f>IFERROR(E16-B16,"")</f>
        <v/>
      </c>
      <c r="H16" s="20">
        <f>IFERROR((E16-B16)/B16,"")</f>
        <v/>
      </c>
      <c r="I16" s="14" t="inlineStr">
        <is>
          <t>Indicador inverso de bem-estar</t>
        </is>
      </c>
    </row>
    <row r="17" ht="24" customHeight="1">
      <c r="A17" s="6" t="inlineStr">
        <is>
          <t>TOTAL DAS 4 CATEGORIAS</t>
        </is>
      </c>
      <c r="B17" s="13" t="n"/>
      <c r="C17" s="13" t="n"/>
      <c r="D17" s="13" t="n"/>
      <c r="E17" s="13" t="n"/>
      <c r="F17" s="13" t="n"/>
      <c r="G17" s="21">
        <f>IFERROR(E17-B17,"")</f>
        <v/>
      </c>
      <c r="H17" s="20">
        <f>IFERROR((E17-B17)/B17,"")</f>
        <v/>
      </c>
      <c r="I17" s="14" t="inlineStr">
        <is>
          <t>Síntese do impacto material das janelas comparadas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4" customWidth="1" min="3" max="3"/>
    <col width="14" customWidth="1" min="4" max="4"/>
    <col width="14" customWidth="1" min="5" max="5"/>
    <col width="50" customWidth="1" min="6" max="6"/>
  </cols>
  <sheetData>
    <row r="1">
      <c r="A1" s="22" t="inlineStr">
        <is>
          <t>INDICADORES FOCAIS — CUSTO POR FILHO · % RENDA EM MORADIA · CUSTO DIA DE LITÍGIO · PRIVAÇÃO DE LAZER</t>
        </is>
      </c>
    </row>
    <row r="3" ht="30" customHeight="1">
      <c r="A3" s="7" t="inlineStr">
        <is>
          <t>#</t>
        </is>
      </c>
      <c r="B3" s="7" t="inlineStr">
        <is>
          <t>Indicador</t>
        </is>
      </c>
      <c r="C3" s="7" t="inlineStr">
        <is>
          <t>2023</t>
        </is>
      </c>
      <c r="D3" s="7" t="inlineStr">
        <is>
          <t>2026</t>
        </is>
      </c>
      <c r="E3" s="7" t="inlineStr">
        <is>
          <t>Δ</t>
        </is>
      </c>
      <c r="F3" s="7" t="inlineStr">
        <is>
          <t>Significado / fórmula</t>
        </is>
      </c>
    </row>
    <row r="4" ht="30" customHeight="1">
      <c r="A4" s="23" t="n">
        <v>1</v>
      </c>
      <c r="B4" s="4" t="inlineStr">
        <is>
          <t>Custo total por filho · ano (Maia)</t>
        </is>
      </c>
      <c r="C4" s="11" t="n"/>
      <c r="D4" s="11" t="n"/>
      <c r="E4" s="12">
        <f>IFERROR(D4-C4,"")</f>
        <v/>
      </c>
      <c r="F4" s="9" t="inlineStr">
        <is>
          <t>Subtotal FILHO 1 da Aba 06 ÷ 1</t>
        </is>
      </c>
    </row>
    <row r="5" ht="30" customHeight="1">
      <c r="A5" s="23" t="n">
        <v>2</v>
      </c>
      <c r="B5" s="4" t="inlineStr">
        <is>
          <t>Custo total por filho · ano (segundo filho)</t>
        </is>
      </c>
      <c r="C5" s="11" t="n"/>
      <c r="D5" s="11" t="n"/>
      <c r="E5" s="12">
        <f>IFERROR(D5-C5,"")</f>
        <v/>
      </c>
      <c r="F5" s="9" t="inlineStr">
        <is>
          <t>Subtotal FILHO 2 da Aba 06 ÷ 1</t>
        </is>
      </c>
    </row>
    <row r="6" ht="30" customHeight="1">
      <c r="A6" s="23" t="n">
        <v>3</v>
      </c>
      <c r="B6" s="4" t="inlineStr">
        <is>
          <t>Custo per capita médio dos filhos · mês</t>
        </is>
      </c>
      <c r="C6" s="11" t="n"/>
      <c r="D6" s="11" t="n"/>
      <c r="E6" s="12">
        <f>IFERROR(D6-C6,"")</f>
        <v/>
      </c>
      <c r="F6" s="9" t="inlineStr">
        <is>
          <t>(Custo filhos anual ÷ 2 filhos) ÷ 12</t>
        </is>
      </c>
    </row>
    <row r="7" ht="30" customHeight="1">
      <c r="A7" s="23" t="n">
        <v>4</v>
      </c>
      <c r="B7" s="4" t="inlineStr">
        <is>
          <t>% pensão alimentícia cobre custo real dos filhos</t>
        </is>
      </c>
      <c r="C7" s="11" t="n"/>
      <c r="D7" s="11" t="n"/>
      <c r="E7" s="12">
        <f>IFERROR(D7-C7,"")</f>
        <v/>
      </c>
      <c r="F7" s="9" t="inlineStr">
        <is>
          <t>Pensão recebida ÷ custo real dos filhos</t>
        </is>
      </c>
    </row>
    <row r="8" ht="30" customHeight="1">
      <c r="A8" s="23" t="n">
        <v>5</v>
      </c>
      <c r="B8" s="4" t="inlineStr">
        <is>
          <t>% renda líquida da requerente comprometida com moradia</t>
        </is>
      </c>
      <c r="C8" s="11" t="n"/>
      <c r="D8" s="11" t="n"/>
      <c r="E8" s="12">
        <f>IFERROR(D8-C8,"")</f>
        <v/>
      </c>
      <c r="F8" s="9" t="inlineStr">
        <is>
          <t>Total Aluguel+Moradia ÷ renda líquida — limite saudável ≈ 30%</t>
        </is>
      </c>
    </row>
    <row r="9" ht="30" customHeight="1">
      <c r="A9" s="23" t="n">
        <v>6</v>
      </c>
      <c r="B9" s="4" t="inlineStr">
        <is>
          <t>Custo do litígio por dia (1.080+ dias)</t>
        </is>
      </c>
      <c r="C9" s="11" t="n"/>
      <c r="D9" s="11" t="n"/>
      <c r="E9" s="12">
        <f>IFERROR(D9-C9,"")</f>
        <v/>
      </c>
      <c r="F9" s="9" t="inlineStr">
        <is>
          <t>Total acumulado processo ÷ 1.080 dias = R$ /dia</t>
        </is>
      </c>
    </row>
    <row r="10" ht="30" customHeight="1">
      <c r="A10" s="23" t="n">
        <v>7</v>
      </c>
      <c r="B10" s="4" t="inlineStr">
        <is>
          <t>Custo do litígio acumulado vs benchmark Doc 11</t>
        </is>
      </c>
      <c r="C10" s="11" t="n"/>
      <c r="D10" s="11" t="n"/>
      <c r="E10" s="12">
        <f>IFERROR(D10-C10,"")</f>
        <v/>
      </c>
      <c r="F10" s="9" t="inlineStr">
        <is>
          <t>≈ R$ 1.000.000 acumulado</t>
        </is>
      </c>
    </row>
    <row r="11" ht="30" customHeight="1">
      <c r="A11" s="23" t="n">
        <v>8</v>
      </c>
      <c r="B11" s="4" t="inlineStr">
        <is>
          <t>Índice de privação de lazer (2026 ÷ 2023)</t>
        </is>
      </c>
      <c r="C11" s="11" t="n"/>
      <c r="D11" s="11" t="n"/>
      <c r="E11" s="12">
        <f>IFERROR(D11-C11,"")</f>
        <v/>
      </c>
      <c r="F11" s="9" t="inlineStr">
        <is>
          <t>Total lazer 2026 ÷ Total lazer 2023 — quanto menor, maior a privação</t>
        </is>
      </c>
    </row>
    <row r="12" ht="30" customHeight="1">
      <c r="A12" s="23" t="n">
        <v>9</v>
      </c>
      <c r="B12" s="4" t="inlineStr">
        <is>
          <t>Custo etário diferencial (filho mais velho × filho mais novo)</t>
        </is>
      </c>
      <c r="C12" s="11" t="n"/>
      <c r="D12" s="11" t="n"/>
      <c r="E12" s="12">
        <f>IFERROR(D12-C12,"")</f>
        <v/>
      </c>
      <c r="F12" s="9" t="inlineStr">
        <is>
          <t>Subtotal F2 − Subtotal F1 — mede progressão etária educacional</t>
        </is>
      </c>
    </row>
    <row r="13" ht="30" customHeight="1">
      <c r="A13" s="23" t="n">
        <v>10</v>
      </c>
      <c r="B13" s="4" t="inlineStr">
        <is>
          <t>Razão custo do processo × custo dos filhos</t>
        </is>
      </c>
      <c r="C13" s="11" t="n"/>
      <c r="D13" s="11" t="n"/>
      <c r="E13" s="12">
        <f>IFERROR(D13-C13,"")</f>
        <v/>
      </c>
      <c r="F13" s="9" t="inlineStr">
        <is>
          <t>Total processo ÷ Total filhos — indicador de erosão da prioridade familiar</t>
        </is>
      </c>
    </row>
    <row r="14" ht="30" customHeight="1">
      <c r="A14" s="23" t="n">
        <v>11</v>
      </c>
      <c r="B14" s="4" t="inlineStr">
        <is>
          <t>Razão custo da moradia × custo do lazer</t>
        </is>
      </c>
      <c r="C14" s="11" t="n"/>
      <c r="D14" s="11" t="n"/>
      <c r="E14" s="12">
        <f>IFERROR(D14-C14,"")</f>
        <v/>
      </c>
      <c r="F14" s="9" t="inlineStr">
        <is>
          <t>Total aluguel ÷ Total lazer — indicador de constrição econômica</t>
        </is>
      </c>
    </row>
    <row r="15" ht="30" customHeight="1">
      <c r="A15" s="23" t="n">
        <v>12</v>
      </c>
      <c r="B15" s="4" t="inlineStr">
        <is>
          <t>Custo anual saúde decorrente do litígio (CID F33+F90)</t>
        </is>
      </c>
      <c r="C15" s="11" t="n"/>
      <c r="D15" s="11" t="n"/>
      <c r="E15" s="12">
        <f>IFERROR(D15-C15,"")</f>
        <v/>
      </c>
      <c r="F15" s="9" t="inlineStr">
        <is>
          <t>Sub-aba 07 do Doc 55 · nexo causal Dr. Ivan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2026-06-17T17:45:10Z</dcterms:created>
  <dcterms:modified xmlns:dcterms="http://purl.org/dc/terms/" xmlns:xsi="http://www.w3.org/2001/XMLSchema-instance" xsi:type="dcterms:W3CDTF">2026-06-17T17:45:10Z</dcterms:modified>
</cp:coreProperties>
</file>