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Parcelas A · só PIX" sheetId="2" state="visible" r:id="rId2"/>
    <sheet xmlns:r="http://schemas.openxmlformats.org/officeDocument/2006/relationships" name="Parcelas B · + via adv" sheetId="3" state="visible" r:id="rId3"/>
    <sheet xmlns:r="http://schemas.openxmlformats.org/officeDocument/2006/relationships" name="Log pagamentos A" sheetId="4" state="visible" r:id="rId4"/>
    <sheet xmlns:r="http://schemas.openxmlformats.org/officeDocument/2006/relationships" name="Log pagamentos B" sheetId="5" state="visible" r:id="rId5"/>
    <sheet xmlns:r="http://schemas.openxmlformats.org/officeDocument/2006/relationships" name="Saúde não reembols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22">
    <font>
      <name val="Calibri"/>
      <family val="2"/>
      <color theme="1"/>
      <sz val="11"/>
      <scheme val="minor"/>
    </font>
    <font>
      <b val="1"/>
      <color rgb="001B3A5B"/>
      <sz val="13"/>
    </font>
    <font>
      <i val="1"/>
      <color rgb="000A5F2E"/>
      <sz val="10"/>
    </font>
    <font>
      <i val="1"/>
      <color rgb="00555555"/>
      <sz val="9"/>
    </font>
    <font>
      <b val="1"/>
      <color rgb="00B00020"/>
      <sz val="8"/>
    </font>
    <font>
      <b val="1"/>
      <color rgb="00C89000"/>
      <sz val="11"/>
    </font>
    <font>
      <b val="1"/>
      <color rgb="001B3A5B"/>
      <sz val="11"/>
    </font>
    <font>
      <b val="1"/>
      <color rgb="00FFFFFF"/>
      <sz val="10"/>
    </font>
    <font>
      <b val="1"/>
    </font>
    <font>
      <b val="1"/>
      <color rgb="00B00020"/>
      <sz val="11"/>
    </font>
    <font>
      <b val="1"/>
      <color rgb="00B00020"/>
    </font>
    <font>
      <sz val="9.5"/>
    </font>
    <font>
      <b val="1"/>
      <color rgb="001B3A5B"/>
      <sz val="10"/>
    </font>
    <font>
      <i val="1"/>
      <sz val="8.5"/>
    </font>
    <font>
      <b val="1"/>
      <color rgb="001B3A5B"/>
      <sz val="12"/>
    </font>
    <font>
      <b val="1"/>
      <color rgb="000A5F2E"/>
    </font>
    <font>
      <b val="1"/>
      <color rgb="00C89000"/>
    </font>
    <font>
      <b val="1"/>
      <sz val="9"/>
    </font>
    <font>
      <color rgb="00B00020"/>
    </font>
    <font>
      <b val="1"/>
      <color rgb="00FFFFFF"/>
    </font>
    <font>
      <color rgb="00C89000"/>
    </font>
    <font>
      <color rgb="000A5F2E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B3A5B"/>
      </patternFill>
    </fill>
    <fill>
      <patternFill patternType="solid">
        <fgColor rgb="00EEF6F0"/>
      </patternFill>
    </fill>
    <fill>
      <patternFill patternType="solid">
        <fgColor rgb="00FDECEF"/>
      </patternFill>
    </fill>
    <fill>
      <patternFill patternType="solid">
        <fgColor rgb="00F5F8FC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2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1" pivotButton="0" quotePrefix="0" xfId="0"/>
    <xf numFmtId="164" fontId="0" fillId="0" borderId="1" applyAlignment="1" pivotButton="0" quotePrefix="0" xfId="0">
      <alignment horizontal="right"/>
    </xf>
    <xf numFmtId="0" fontId="8" fillId="4" borderId="1" pivotButton="0" quotePrefix="0" xfId="0"/>
    <xf numFmtId="164" fontId="0" fillId="4" borderId="1" applyAlignment="1" pivotButton="0" quotePrefix="0" xfId="0">
      <alignment horizontal="right"/>
    </xf>
    <xf numFmtId="0" fontId="8" fillId="2" borderId="1" pivotButton="0" quotePrefix="0" xfId="0"/>
    <xf numFmtId="164" fontId="0" fillId="2" borderId="1" applyAlignment="1" pivotButton="0" quotePrefix="0" xfId="0">
      <alignment horizontal="right"/>
    </xf>
    <xf numFmtId="0" fontId="9" fillId="5" borderId="1" pivotButton="0" quotePrefix="0" xfId="0"/>
    <xf numFmtId="164" fontId="9" fillId="5" borderId="1" applyAlignment="1" pivotButton="0" quotePrefix="0" xfId="0">
      <alignment horizontal="right"/>
    </xf>
    <xf numFmtId="0" fontId="7" fillId="3" borderId="1" pivotButton="0" quotePrefix="0" xfId="0"/>
    <xf numFmtId="0" fontId="10" fillId="5" borderId="1" pivotButton="0" quotePrefix="0" xfId="0"/>
    <xf numFmtId="164" fontId="1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8" fillId="0" borderId="0" pivotButton="0" quotePrefix="0" xfId="0"/>
    <xf numFmtId="0" fontId="11" fillId="6" borderId="0" applyAlignment="1" pivotButton="0" quotePrefix="0" xfId="0">
      <alignment vertical="top" wrapText="1"/>
    </xf>
    <xf numFmtId="0" fontId="12" fillId="0" borderId="0" pivotButton="0" quotePrefix="0" xfId="0"/>
    <xf numFmtId="0" fontId="13" fillId="6" borderId="0" applyAlignment="1" pivotButton="0" quotePrefix="0" xfId="0">
      <alignment vertical="top" wrapText="1"/>
    </xf>
    <xf numFmtId="0" fontId="14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15" fillId="4" borderId="1" pivotButton="0" quotePrefix="0" xfId="0"/>
    <xf numFmtId="164" fontId="16" fillId="4" borderId="1" pivotButton="0" quotePrefix="0" xfId="0"/>
    <xf numFmtId="164" fontId="8" fillId="4" borderId="1" pivotButton="0" quotePrefix="0" xfId="0"/>
    <xf numFmtId="0" fontId="17" fillId="4" borderId="1" pivotButton="0" quotePrefix="0" xfId="0"/>
    <xf numFmtId="0" fontId="0" fillId="2" borderId="1" applyAlignment="1" pivotButton="0" quotePrefix="0" xfId="0">
      <alignment horizontal="center"/>
    </xf>
    <xf numFmtId="164" fontId="0" fillId="2" borderId="1" pivotButton="0" quotePrefix="0" xfId="0"/>
    <xf numFmtId="164" fontId="15" fillId="2" borderId="1" pivotButton="0" quotePrefix="0" xfId="0"/>
    <xf numFmtId="164" fontId="16" fillId="2" borderId="1" pivotButton="0" quotePrefix="0" xfId="0"/>
    <xf numFmtId="164" fontId="10" fillId="2" borderId="1" pivotButton="0" quotePrefix="0" xfId="0"/>
    <xf numFmtId="164" fontId="18" fillId="2" borderId="1" pivotButton="0" quotePrefix="0" xfId="0"/>
    <xf numFmtId="164" fontId="8" fillId="2" borderId="1" pivotButton="0" quotePrefix="0" xfId="0"/>
    <xf numFmtId="0" fontId="17" fillId="2" borderId="1" pivotButton="0" quotePrefix="0" xfId="0"/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164" fontId="10" fillId="5" borderId="1" pivotButton="0" quotePrefix="0" xfId="0"/>
    <xf numFmtId="164" fontId="18" fillId="5" borderId="1" pivotButton="0" quotePrefix="0" xfId="0"/>
    <xf numFmtId="164" fontId="8" fillId="5" borderId="1" pivotButton="0" quotePrefix="0" xfId="0"/>
    <xf numFmtId="0" fontId="17" fillId="5" borderId="1" pivotButton="0" quotePrefix="0" xfId="0"/>
    <xf numFmtId="0" fontId="19" fillId="3" borderId="1" pivotButton="0" quotePrefix="0" xfId="0"/>
    <xf numFmtId="164" fontId="19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20" fillId="4" borderId="1" pivotButton="0" quotePrefix="0" xfId="0"/>
    <xf numFmtId="164" fontId="21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DOC 81 — AMORTIZAÇÃO EM TEMPO REAL · CC ART. 354 · LEI 14.905/2024</t>
        </is>
      </c>
    </row>
    <row r="2">
      <c r="A2" s="2" t="inlineStr">
        <is>
          <t>Cada pagamento abate PRIMEIRO os juros acumulados, DEPOIS o principal, da parcela mais antiga em ordem cronológica</t>
        </is>
      </c>
    </row>
    <row r="3">
      <c r="A3" s="3" t="inlineStr">
        <is>
          <t>Revisa o Doc 80 com metodologia técnica correta de amortização (juros não abatidos no final, mas a cada pagamento)</t>
        </is>
      </c>
    </row>
    <row r="4">
      <c r="A4" s="4" t="inlineStr">
        <is>
          <t>CONFIDENCIAL · uso restrito · sucede o Doc 80</t>
        </is>
      </c>
    </row>
    <row r="6">
      <c r="A6" s="5" t="inlineStr">
        <is>
          <t>I — MUDANÇA METODOLÓGICA · COMPARAÇÃO COM DOC 80</t>
        </is>
      </c>
    </row>
    <row r="7" ht="175" customHeight="1">
      <c r="A7" s="6" t="inlineStr">
        <is>
          <t>DOC 80 (metodologia anterior · 'piso zero/mês'): cada mês de competência tinha seu débito calculado independente; se o pagamento excedia o devido do mês, o excesso era DESCARTADO. Os juros eram aplicados sobre o débito residual de cada mês até 30/06/2026. PROBLEMA: ignora o princípio do CC art. 354 (juros primeiro) e perde excessos de pagamento.
DOC 81 (metodologia técnica correta · CC 354): pagamentos são alocados sequencialmente nas parcelas mais antigas, abatendo PRIMEIRO os juros acumulados e DEPOIS o principal. Nenhum excesso é descartado — tudo aproveita parcelas anteriores. Juros são debitados em tempo real a cada pagamento, não no fim.
RESULTADO: Doc 81 resulta em débito principal final MENOR e juros pagos efetivos durante o período, com saldo restante MAIS PRECISO juridicamente.</t>
        </is>
      </c>
    </row>
    <row r="9">
      <c r="A9" s="7" t="inlineStr">
        <is>
          <t>II — SÍNTESE FINANCEIRA · AMORTIZAÇÃO PROPER (CC 354)</t>
        </is>
      </c>
    </row>
    <row r="11">
      <c r="A11" s="8" t="inlineStr">
        <is>
          <t>Indicador</t>
        </is>
      </c>
      <c r="B11" s="8" t="inlineStr">
        <is>
          <t>Cenário A (só PIX direto)</t>
        </is>
      </c>
      <c r="C11" s="8" t="inlineStr">
        <is>
          <t>Cenário B (+ via adv)</t>
        </is>
      </c>
      <c r="D11" s="8" t="inlineStr">
        <is>
          <t>Δ B − A</t>
        </is>
      </c>
    </row>
    <row r="12">
      <c r="A12" s="9" t="inlineStr">
        <is>
          <t>Pagamentos recebidos</t>
        </is>
      </c>
      <c r="B12" s="10" t="n">
        <v>214129.08</v>
      </c>
      <c r="C12" s="10" t="n">
        <v>453284.86</v>
      </c>
      <c r="D12" s="10" t="n">
        <v>239155.78</v>
      </c>
    </row>
    <row r="13">
      <c r="A13" s="9" t="inlineStr">
        <is>
          <t>Devido inicial alimentar (18 m)</t>
        </is>
      </c>
      <c r="B13" s="10" t="n">
        <v>908280</v>
      </c>
      <c r="C13" s="10" t="n">
        <v>908280</v>
      </c>
      <c r="D13" s="10" t="n">
        <v>0</v>
      </c>
    </row>
    <row r="14">
      <c r="A14" s="11" t="inlineStr">
        <is>
          <t>Principal PAGO (amortizado)</t>
        </is>
      </c>
      <c r="B14" s="12" t="n">
        <v>187443.9512531538</v>
      </c>
      <c r="C14" s="12" t="n">
        <v>421631.7542629544</v>
      </c>
      <c r="D14" s="12" t="n">
        <v>234187.8030098006</v>
      </c>
    </row>
    <row r="15">
      <c r="A15" s="11" t="inlineStr">
        <is>
          <t>Juros PAGO (durante o período)</t>
        </is>
      </c>
      <c r="B15" s="12" t="n">
        <v>26685.12874684619</v>
      </c>
      <c r="C15" s="12" t="n">
        <v>31653.10573704561</v>
      </c>
      <c r="D15" s="12" t="n">
        <v>4967.976990199419</v>
      </c>
    </row>
    <row r="16">
      <c r="A16" s="13" t="inlineStr">
        <is>
          <t>Principal REMANESCENTE (a executar)</t>
        </is>
      </c>
      <c r="B16" s="14" t="n">
        <v>720836.0487468462</v>
      </c>
      <c r="C16" s="14" t="n">
        <v>486648.2457370456</v>
      </c>
      <c r="D16" s="14" t="n">
        <v>-234187.8030098006</v>
      </c>
    </row>
    <row r="17">
      <c r="A17" s="13" t="inlineStr">
        <is>
          <t>Juros ACUMULADO (não pago)</t>
        </is>
      </c>
      <c r="B17" s="14" t="n">
        <v>51698.46392402397</v>
      </c>
      <c r="C17" s="14" t="n">
        <v>21930.50485260049</v>
      </c>
      <c r="D17" s="14" t="n">
        <v>-29767.95907142348</v>
      </c>
    </row>
    <row r="18">
      <c r="A18" s="9" t="inlineStr">
        <is>
          <t>SALDO ALIMENTAR a 30/06/2026</t>
        </is>
      </c>
      <c r="B18" s="10" t="n">
        <v>772534.5126708702</v>
      </c>
      <c r="C18" s="10" t="n">
        <v>508578.7505896461</v>
      </c>
      <c r="D18" s="10" t="n">
        <v>-263955.7620812241</v>
      </c>
    </row>
    <row r="19">
      <c r="A19" s="9" t="inlineStr">
        <is>
          <t>+ Saúde NÃO REEMBOLSADA principal</t>
        </is>
      </c>
      <c r="B19" s="10" t="n">
        <v>25900</v>
      </c>
      <c r="C19" s="10" t="n">
        <v>25900</v>
      </c>
      <c r="D19" s="10" t="n">
        <v>0</v>
      </c>
    </row>
    <row r="20">
      <c r="A20" s="9" t="inlineStr">
        <is>
          <t>+ Saúde juros acumulado</t>
        </is>
      </c>
      <c r="B20" s="10" t="n">
        <v>759.2590201075884</v>
      </c>
      <c r="C20" s="10" t="n">
        <v>759.2590201075884</v>
      </c>
      <c r="D20" s="10" t="n">
        <v>0</v>
      </c>
    </row>
    <row r="21">
      <c r="A21" s="15">
        <f> PASSIVO TOTAL ATUALIZADO 30/06/2026</f>
        <v/>
      </c>
      <c r="B21" s="16" t="n">
        <v>799193.7716909777</v>
      </c>
      <c r="C21" s="16" t="n">
        <v>535238.0096097537</v>
      </c>
      <c r="D21" s="16" t="n">
        <v>-263955.7620812241</v>
      </c>
    </row>
    <row r="23">
      <c r="A23" s="7" t="inlineStr">
        <is>
          <t>III — COMPARATIVO DOC 80 vs DOC 81 (mesma metodologia de juros, SELIC 0,93% a.m.)</t>
        </is>
      </c>
    </row>
    <row r="25">
      <c r="A25" s="17" t="inlineStr">
        <is>
          <t>Indicador (Cenário)</t>
        </is>
      </c>
      <c r="B25" s="17" t="inlineStr">
        <is>
          <t>Doc 80 (piso zero/mês)</t>
        </is>
      </c>
      <c r="C25" s="17" t="inlineStr">
        <is>
          <t>Doc 81 (amortização CC 354)</t>
        </is>
      </c>
      <c r="D25" s="17" t="inlineStr">
        <is>
          <t>Δ Doc 81 − Doc 80</t>
        </is>
      </c>
    </row>
    <row r="26">
      <c r="A26" s="9" t="inlineStr">
        <is>
          <t>Principal residual (A)</t>
        </is>
      </c>
      <c r="B26" s="10" t="n">
        <v>770780</v>
      </c>
      <c r="C26" s="10" t="n">
        <v>746736.0487468462</v>
      </c>
      <c r="D26" s="10" t="n">
        <v>-24043.95125315385</v>
      </c>
    </row>
    <row r="27">
      <c r="A27" s="9" t="inlineStr">
        <is>
          <t>Juros acumulado (A)</t>
        </is>
      </c>
      <c r="B27" s="10" t="n">
        <v>79755.24000000001</v>
      </c>
      <c r="C27" s="10" t="n">
        <v>52457.72294413156</v>
      </c>
      <c r="D27" s="10" t="n">
        <v>-27297.51705586845</v>
      </c>
    </row>
    <row r="28">
      <c r="A28" s="18" t="inlineStr">
        <is>
          <t>PASSIVO TOTAL (A)</t>
        </is>
      </c>
      <c r="B28" s="19" t="n">
        <v>850535.24</v>
      </c>
      <c r="C28" s="19" t="n">
        <v>799193.7716909777</v>
      </c>
      <c r="D28" s="20" t="n">
        <v>-51341.46830902225</v>
      </c>
    </row>
    <row r="29">
      <c r="A29" s="21" t="inlineStr"/>
      <c r="B29" t="inlineStr"/>
      <c r="C29" t="inlineStr"/>
      <c r="D29" t="inlineStr"/>
    </row>
    <row r="30">
      <c r="A30" s="9" t="inlineStr">
        <is>
          <t>Principal residual (B)</t>
        </is>
      </c>
      <c r="B30" s="10" t="n">
        <v>647489.96</v>
      </c>
      <c r="C30" s="10" t="n">
        <v>512548.2457370456</v>
      </c>
      <c r="D30" s="10" t="n">
        <v>-134941.7142629544</v>
      </c>
    </row>
    <row r="31">
      <c r="A31" s="9" t="inlineStr">
        <is>
          <t>Juros acumulado (B)</t>
        </is>
      </c>
      <c r="B31" s="10" t="n">
        <v>65614.34</v>
      </c>
      <c r="C31" s="10" t="n">
        <v>22689.76387270808</v>
      </c>
      <c r="D31" s="10" t="n">
        <v>-42924.57612729192</v>
      </c>
    </row>
    <row r="32">
      <c r="A32" s="18" t="inlineStr">
        <is>
          <t>PASSIVO TOTAL (B)</t>
        </is>
      </c>
      <c r="B32" s="19" t="n">
        <v>713104.3</v>
      </c>
      <c r="C32" s="19" t="n">
        <v>535238.0096097537</v>
      </c>
      <c r="D32" s="20" t="n">
        <v>-177866.2903902463</v>
      </c>
    </row>
    <row r="35">
      <c r="A35" s="5" t="inlineStr">
        <is>
          <t>IV — RECOMENDAÇÃO JURÍDICA</t>
        </is>
      </c>
    </row>
    <row r="36" ht="225" customHeight="1">
      <c r="A36" s="22" t="inlineStr">
        <is>
          <t>O DOC 81 é a metodologia TECNICAMENTE CORRETA para execução de alimentos no Brasil. Aplicação:
1. CC art. 354 — 'havendo capital e juros, o pagamento imputar-se-á primeiro nos juros vencidos, e depois no capital'.
2. CC art. 406 (com redação da Lei 14.905/2024 vigente desde 30/08/2024): juros legais = SELIC.
3. STJ AgInt no REsp 1.794.864/MG (2020) e jurisprudência consolidada: 'A imputação em pagamento, nos termos do art. 354 do CC, dá-se necessariamente primeiro nos juros vencidos e depois no capital'.
RECOMENDAÇÃO À BANCA: utilizar o cálculo do Doc 81 no protocolo (não o do Doc 79/80), por ser metodologicamente mais defensável e por aderir ao princípio da imputação proper (CC 354). O resultado do Doc 81 apresenta:
  - Cenário A · PASSIVO R$ 799193.77
  - Cenário B · PASSIVO R$ 535238.01
Em ambos, juros e principal são tratados separadamente, com transparência do quanto foi efetivamente pago em juros e quanto resta em principal.</t>
        </is>
      </c>
    </row>
    <row r="38">
      <c r="A38" s="23" t="inlineStr">
        <is>
          <t>Reserva técnica</t>
        </is>
      </c>
    </row>
    <row r="39" ht="200" customHeight="1">
      <c r="A39" s="24" t="inlineStr">
        <is>
          <t>Doc 81 sucede o Doc 80 implementando a AMORTIZAÇÃO PROPER conforme CC art. 354 (juros vencidos abatidos antes do capital) e CC art. 406 (juros legais = SELIC · Lei 14.905/2024 vigente desde 30/08/2024). Cada parcela alimentar mensal acumula juros SELIC capitalizados em base diária (taxa equivalente diária derivada de 0,93% a.m.) a partir do vencimento (dia 1º conforme sentença 11/04/2024 fls. 1382). Pagamentos são alocados às parcelas mais antigas, abatendo primeiro os juros acumulados e depois o principal. Saúde não reembolsada (16 NFs · R$ 25.900) acumula juros SELIC desde a data de cada NF, sem pagamentos (Ari não ressarciu). Premissas: filhos R$ 24.300/mês (sentença); Millena 5 SM + R$ 18.400. DOIS CENÁRIOS apresentados: A (só PIX direto · 7 lançamentos · R$ 214.129,08) e B (+ recebimentos via advogados · 5 lançamentos · R$ 239.155,78 · a confirmar pela banca · ver Doc 80). NÃO inclui rendimento sobre resgate de Vida e Previdência (Doc 72 · ação cível autônoma), honorários advocatícios (10% sobre anuidade ≈ R$ 29.160), multa CPC 528 §1º. Instrumento técnico de apoio (CPC art. 472), não substitui laudo CRC nem perícia oficial. Patronos: Dra. Michele P. Hilgenberg (OAB/SC 41.607) + Dr. Luiz Carlos Guieseler Junior (OAB/PR 44.937) · procuração matriz 03/06/2026 · fls. 1065 da guarda · CPC art. 112.</t>
        </is>
      </c>
    </row>
  </sheetData>
  <mergeCells count="12">
    <mergeCell ref="A9:H9"/>
    <mergeCell ref="A4:H4"/>
    <mergeCell ref="A3:H3"/>
    <mergeCell ref="A39:H39"/>
    <mergeCell ref="A35:H35"/>
    <mergeCell ref="A7:H7"/>
    <mergeCell ref="A38:H38"/>
    <mergeCell ref="A2:H2"/>
    <mergeCell ref="A36:H36"/>
    <mergeCell ref="A1:H1"/>
    <mergeCell ref="A23:H23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3" customWidth="1" min="5" max="5"/>
    <col width="16" customWidth="1" min="6" max="6"/>
    <col width="13" customWidth="1" min="7" max="7"/>
    <col width="14" customWidth="1" min="8" max="8"/>
    <col width="12" customWidth="1" min="9" max="9"/>
  </cols>
  <sheetData>
    <row r="1">
      <c r="A1" s="25" t="inlineStr">
        <is>
          <t>CENÁRIO A · Detalhe por parcela após amortização CC 354</t>
        </is>
      </c>
    </row>
    <row r="3">
      <c r="A3" s="8" t="inlineStr">
        <is>
          <t>Parcela</t>
        </is>
      </c>
      <c r="B3" s="8" t="inlineStr">
        <is>
          <t>Venc.</t>
        </is>
      </c>
      <c r="C3" s="8" t="inlineStr">
        <is>
          <t>Principal inicial</t>
        </is>
      </c>
      <c r="D3" s="8" t="inlineStr">
        <is>
          <t>Principal pago</t>
        </is>
      </c>
      <c r="E3" s="8" t="inlineStr">
        <is>
          <t>Juros pago</t>
        </is>
      </c>
      <c r="F3" s="8" t="inlineStr">
        <is>
          <t>Principal remanescente</t>
        </is>
      </c>
      <c r="G3" s="8" t="inlineStr">
        <is>
          <t>Juros acumulado</t>
        </is>
      </c>
      <c r="H3" s="8" t="inlineStr">
        <is>
          <t>SALDO 30/06/2026</t>
        </is>
      </c>
      <c r="I3" s="8" t="inlineStr">
        <is>
          <t>Status</t>
        </is>
      </c>
    </row>
    <row r="4">
      <c r="A4" s="26" t="inlineStr">
        <is>
          <t>01/2025</t>
        </is>
      </c>
      <c r="B4" s="26" t="inlineStr">
        <is>
          <t>01/01/2025</t>
        </is>
      </c>
      <c r="C4" s="27" t="n">
        <v>50290</v>
      </c>
      <c r="D4" s="28" t="n">
        <v>50290</v>
      </c>
      <c r="E4" s="29" t="n">
        <v>6378.688347843607</v>
      </c>
      <c r="F4" s="27" t="n">
        <v>0</v>
      </c>
      <c r="G4" s="27" t="n">
        <v>0</v>
      </c>
      <c r="H4" s="30" t="n">
        <v>0</v>
      </c>
      <c r="I4" s="31" t="inlineStr">
        <is>
          <t>QUITADA</t>
        </is>
      </c>
    </row>
    <row r="5">
      <c r="A5" s="26" t="inlineStr">
        <is>
          <t>02/2025</t>
        </is>
      </c>
      <c r="B5" s="26" t="inlineStr">
        <is>
          <t>01/02/2025</t>
        </is>
      </c>
      <c r="C5" s="27" t="n">
        <v>50290</v>
      </c>
      <c r="D5" s="28" t="n">
        <v>50290</v>
      </c>
      <c r="E5" s="29" t="n">
        <v>6566.008356685423</v>
      </c>
      <c r="F5" s="27" t="n">
        <v>0</v>
      </c>
      <c r="G5" s="27" t="n">
        <v>0</v>
      </c>
      <c r="H5" s="30" t="n">
        <v>0</v>
      </c>
      <c r="I5" s="31" t="inlineStr">
        <is>
          <t>QUITADA</t>
        </is>
      </c>
    </row>
    <row r="6">
      <c r="A6" s="26" t="inlineStr">
        <is>
          <t>03/2025</t>
        </is>
      </c>
      <c r="B6" s="26" t="inlineStr">
        <is>
          <t>01/03/2025</t>
        </is>
      </c>
      <c r="C6" s="27" t="n">
        <v>50290</v>
      </c>
      <c r="D6" s="28" t="n">
        <v>50290</v>
      </c>
      <c r="E6" s="29" t="n">
        <v>6720.731565078895</v>
      </c>
      <c r="F6" s="27" t="n">
        <v>0</v>
      </c>
      <c r="G6" s="27" t="n">
        <v>0</v>
      </c>
      <c r="H6" s="30" t="n">
        <v>0</v>
      </c>
      <c r="I6" s="31" t="inlineStr">
        <is>
          <t>QUITADA</t>
        </is>
      </c>
    </row>
    <row r="7">
      <c r="A7" s="32" t="inlineStr">
        <is>
          <t>04/2025</t>
        </is>
      </c>
      <c r="B7" s="32" t="inlineStr">
        <is>
          <t>01/04/2025</t>
        </is>
      </c>
      <c r="C7" s="33" t="n">
        <v>50290</v>
      </c>
      <c r="D7" s="34" t="n">
        <v>36573.95125315381</v>
      </c>
      <c r="E7" s="35" t="n">
        <v>7019.700477238264</v>
      </c>
      <c r="F7" s="36" t="n">
        <v>13716.04874684619</v>
      </c>
      <c r="G7" s="37" t="n">
        <v>89.1674150463823</v>
      </c>
      <c r="H7" s="38" t="n">
        <v>13805.21616189258</v>
      </c>
      <c r="I7" s="39" t="inlineStr">
        <is>
          <t>PARCIAL</t>
        </is>
      </c>
    </row>
    <row r="8">
      <c r="A8" s="40" t="inlineStr">
        <is>
          <t>05/2025</t>
        </is>
      </c>
      <c r="B8" s="40" t="inlineStr">
        <is>
          <t>01/05/2025</t>
        </is>
      </c>
      <c r="C8" s="41" t="n">
        <v>50290</v>
      </c>
      <c r="D8" s="41" t="n">
        <v>0</v>
      </c>
      <c r="E8" s="41" t="n">
        <v>0</v>
      </c>
      <c r="F8" s="42" t="n">
        <v>50290</v>
      </c>
      <c r="G8" s="43" t="n">
        <v>7047.071393191865</v>
      </c>
      <c r="H8" s="44" t="n">
        <v>57337.07139319187</v>
      </c>
      <c r="I8" s="45" t="inlineStr">
        <is>
          <t>EM ABERTO</t>
        </is>
      </c>
    </row>
    <row r="9">
      <c r="A9" s="40" t="inlineStr">
        <is>
          <t>06/2025</t>
        </is>
      </c>
      <c r="B9" s="40" t="inlineStr">
        <is>
          <t>01/06/2025</t>
        </is>
      </c>
      <c r="C9" s="41" t="n">
        <v>50290</v>
      </c>
      <c r="D9" s="41" t="n">
        <v>0</v>
      </c>
      <c r="E9" s="41" t="n">
        <v>0</v>
      </c>
      <c r="F9" s="42" t="n">
        <v>50290</v>
      </c>
      <c r="G9" s="43" t="n">
        <v>6501.223395341185</v>
      </c>
      <c r="H9" s="44" t="n">
        <v>56791.22339534119</v>
      </c>
      <c r="I9" s="45" t="inlineStr">
        <is>
          <t>EM ABERTO</t>
        </is>
      </c>
    </row>
    <row r="10">
      <c r="A10" s="40" t="inlineStr">
        <is>
          <t>07/2025</t>
        </is>
      </c>
      <c r="B10" s="40" t="inlineStr">
        <is>
          <t>01/07/2025</t>
        </is>
      </c>
      <c r="C10" s="41" t="n">
        <v>50290</v>
      </c>
      <c r="D10" s="41" t="n">
        <v>0</v>
      </c>
      <c r="E10" s="41" t="n">
        <v>0</v>
      </c>
      <c r="F10" s="42" t="n">
        <v>50290</v>
      </c>
      <c r="G10" s="43" t="n">
        <v>5977.931631171297</v>
      </c>
      <c r="H10" s="44" t="n">
        <v>56267.9316311713</v>
      </c>
      <c r="I10" s="45" t="inlineStr">
        <is>
          <t>EM ABERTO</t>
        </is>
      </c>
    </row>
    <row r="11">
      <c r="A11" s="40" t="inlineStr">
        <is>
          <t>08/2025</t>
        </is>
      </c>
      <c r="B11" s="40" t="inlineStr">
        <is>
          <t>01/08/2025</t>
        </is>
      </c>
      <c r="C11" s="41" t="n">
        <v>50290</v>
      </c>
      <c r="D11" s="41" t="n">
        <v>0</v>
      </c>
      <c r="E11" s="41" t="n">
        <v>0</v>
      </c>
      <c r="F11" s="42" t="n">
        <v>50290</v>
      </c>
      <c r="G11" s="43" t="n">
        <v>5442.261826666407</v>
      </c>
      <c r="H11" s="44" t="n">
        <v>55732.26182666641</v>
      </c>
      <c r="I11" s="45" t="inlineStr">
        <is>
          <t>EM ABERTO</t>
        </is>
      </c>
    </row>
    <row r="12">
      <c r="A12" s="40" t="inlineStr">
        <is>
          <t>09/2025</t>
        </is>
      </c>
      <c r="B12" s="40" t="inlineStr">
        <is>
          <t>01/09/2025</t>
        </is>
      </c>
      <c r="C12" s="41" t="n">
        <v>50290</v>
      </c>
      <c r="D12" s="41" t="n">
        <v>0</v>
      </c>
      <c r="E12" s="41" t="n">
        <v>0</v>
      </c>
      <c r="F12" s="42" t="n">
        <v>50290</v>
      </c>
      <c r="G12" s="43" t="n">
        <v>4911.691590088391</v>
      </c>
      <c r="H12" s="44" t="n">
        <v>55201.69159008839</v>
      </c>
      <c r="I12" s="45" t="inlineStr">
        <is>
          <t>EM ABERTO</t>
        </is>
      </c>
    </row>
    <row r="13">
      <c r="A13" s="40" t="inlineStr">
        <is>
          <t>10/2025</t>
        </is>
      </c>
      <c r="B13" s="40" t="inlineStr">
        <is>
          <t>01/10/2025</t>
        </is>
      </c>
      <c r="C13" s="41" t="n">
        <v>50290</v>
      </c>
      <c r="D13" s="41" t="n">
        <v>0</v>
      </c>
      <c r="E13" s="41" t="n">
        <v>0</v>
      </c>
      <c r="F13" s="42" t="n">
        <v>50290</v>
      </c>
      <c r="G13" s="43" t="n">
        <v>4403.046259871582</v>
      </c>
      <c r="H13" s="44" t="n">
        <v>54693.04625987158</v>
      </c>
      <c r="I13" s="45" t="inlineStr">
        <is>
          <t>EM ABERTO</t>
        </is>
      </c>
    </row>
    <row r="14">
      <c r="A14" s="40" t="inlineStr">
        <is>
          <t>11/2025</t>
        </is>
      </c>
      <c r="B14" s="40" t="inlineStr">
        <is>
          <t>01/11/2025</t>
        </is>
      </c>
      <c r="C14" s="41" t="n">
        <v>50290</v>
      </c>
      <c r="D14" s="41" t="n">
        <v>0</v>
      </c>
      <c r="E14" s="41" t="n">
        <v>0</v>
      </c>
      <c r="F14" s="42" t="n">
        <v>50290</v>
      </c>
      <c r="G14" s="43" t="n">
        <v>3882.369338781922</v>
      </c>
      <c r="H14" s="44" t="n">
        <v>54172.36933878192</v>
      </c>
      <c r="I14" s="45" t="inlineStr">
        <is>
          <t>EM ABERTO</t>
        </is>
      </c>
    </row>
    <row r="15">
      <c r="A15" s="40" t="inlineStr">
        <is>
          <t>12/2025</t>
        </is>
      </c>
      <c r="B15" s="40" t="inlineStr">
        <is>
          <t>01/12/2025</t>
        </is>
      </c>
      <c r="C15" s="41" t="n">
        <v>50290</v>
      </c>
      <c r="D15" s="41" t="n">
        <v>0</v>
      </c>
      <c r="E15" s="41" t="n">
        <v>0</v>
      </c>
      <c r="F15" s="42" t="n">
        <v>50290</v>
      </c>
      <c r="G15" s="43" t="n">
        <v>3383.20849973437</v>
      </c>
      <c r="H15" s="44" t="n">
        <v>53673.20849973437</v>
      </c>
      <c r="I15" s="45" t="inlineStr">
        <is>
          <t>EM ABERTO</t>
        </is>
      </c>
    </row>
    <row r="16">
      <c r="A16" s="40" t="inlineStr">
        <is>
          <t>01/2026</t>
        </is>
      </c>
      <c r="B16" s="40" t="inlineStr">
        <is>
          <t>01/01/2026</t>
        </is>
      </c>
      <c r="C16" s="41" t="n">
        <v>50800</v>
      </c>
      <c r="D16" s="41" t="n">
        <v>0</v>
      </c>
      <c r="E16" s="41" t="n">
        <v>0</v>
      </c>
      <c r="F16" s="42" t="n">
        <v>50800</v>
      </c>
      <c r="G16" s="43" t="n">
        <v>2901.368328105804</v>
      </c>
      <c r="H16" s="44" t="n">
        <v>53701.3683281058</v>
      </c>
      <c r="I16" s="45" t="inlineStr">
        <is>
          <t>EM ABERTO</t>
        </is>
      </c>
    </row>
    <row r="17">
      <c r="A17" s="40" t="inlineStr">
        <is>
          <t>02/2026</t>
        </is>
      </c>
      <c r="B17" s="40" t="inlineStr">
        <is>
          <t>01/02/2026</t>
        </is>
      </c>
      <c r="C17" s="41" t="n">
        <v>50800</v>
      </c>
      <c r="D17" s="41" t="n">
        <v>0</v>
      </c>
      <c r="E17" s="41" t="n">
        <v>0</v>
      </c>
      <c r="F17" s="42" t="n">
        <v>50800</v>
      </c>
      <c r="G17" s="43" t="n">
        <v>2390.132164983246</v>
      </c>
      <c r="H17" s="44" t="n">
        <v>53190.13216498325</v>
      </c>
      <c r="I17" s="45" t="inlineStr">
        <is>
          <t>EM ABERTO</t>
        </is>
      </c>
    </row>
    <row r="18">
      <c r="A18" s="40" t="inlineStr">
        <is>
          <t>03/2026</t>
        </is>
      </c>
      <c r="B18" s="40" t="inlineStr">
        <is>
          <t>01/03/2026</t>
        </is>
      </c>
      <c r="C18" s="41" t="n">
        <v>50800</v>
      </c>
      <c r="D18" s="41" t="n">
        <v>0</v>
      </c>
      <c r="E18" s="41" t="n">
        <v>0</v>
      </c>
      <c r="F18" s="42" t="n">
        <v>50800</v>
      </c>
      <c r="G18" s="43" t="n">
        <v>1932.555013276673</v>
      </c>
      <c r="H18" s="44" t="n">
        <v>52732.55501327667</v>
      </c>
      <c r="I18" s="45" t="inlineStr">
        <is>
          <t>EM ABERTO</t>
        </is>
      </c>
    </row>
    <row r="19">
      <c r="A19" s="40" t="inlineStr">
        <is>
          <t>04/2026</t>
        </is>
      </c>
      <c r="B19" s="40" t="inlineStr">
        <is>
          <t>01/04/2026</t>
        </is>
      </c>
      <c r="C19" s="41" t="n">
        <v>50800</v>
      </c>
      <c r="D19" s="41" t="n">
        <v>0</v>
      </c>
      <c r="E19" s="41" t="n">
        <v>0</v>
      </c>
      <c r="F19" s="42" t="n">
        <v>50800</v>
      </c>
      <c r="G19" s="43" t="n">
        <v>1430.541937335613</v>
      </c>
      <c r="H19" s="44" t="n">
        <v>52230.54193733561</v>
      </c>
      <c r="I19" s="45" t="inlineStr">
        <is>
          <t>EM ABERTO</t>
        </is>
      </c>
    </row>
    <row r="20">
      <c r="A20" s="40" t="inlineStr">
        <is>
          <t>05/2026</t>
        </is>
      </c>
      <c r="B20" s="40" t="inlineStr">
        <is>
          <t>01/05/2026</t>
        </is>
      </c>
      <c r="C20" s="41" t="n">
        <v>50800</v>
      </c>
      <c r="D20" s="41" t="n">
        <v>0</v>
      </c>
      <c r="E20" s="41" t="n">
        <v>0</v>
      </c>
      <c r="F20" s="42" t="n">
        <v>50800</v>
      </c>
      <c r="G20" s="43" t="n">
        <v>949.273692000017</v>
      </c>
      <c r="H20" s="44" t="n">
        <v>51749.27369200002</v>
      </c>
      <c r="I20" s="45" t="inlineStr">
        <is>
          <t>EM ABERTO</t>
        </is>
      </c>
    </row>
    <row r="21">
      <c r="A21" s="40" t="inlineStr">
        <is>
          <t>06/2026</t>
        </is>
      </c>
      <c r="B21" s="40" t="inlineStr">
        <is>
          <t>01/06/2026</t>
        </is>
      </c>
      <c r="C21" s="41" t="n">
        <v>50800</v>
      </c>
      <c r="D21" s="41" t="n">
        <v>0</v>
      </c>
      <c r="E21" s="41" t="n">
        <v>0</v>
      </c>
      <c r="F21" s="42" t="n">
        <v>50800</v>
      </c>
      <c r="G21" s="43" t="n">
        <v>456.621438429218</v>
      </c>
      <c r="H21" s="44" t="n">
        <v>51256.62143842922</v>
      </c>
      <c r="I21" s="45" t="inlineStr">
        <is>
          <t>EM ABERTO</t>
        </is>
      </c>
    </row>
    <row r="22">
      <c r="A22" s="46" t="inlineStr">
        <is>
          <t>TOTAL ALIMENTAR</t>
        </is>
      </c>
      <c r="B22" s="46" t="n"/>
      <c r="C22" s="47" t="n">
        <v>908280</v>
      </c>
      <c r="D22" s="47" t="n">
        <v>187443.9512531538</v>
      </c>
      <c r="E22" s="47" t="n">
        <v>26685.12874684619</v>
      </c>
      <c r="F22" s="47" t="n">
        <v>720836.0487468462</v>
      </c>
      <c r="G22" s="47" t="n">
        <v>51698.46392402397</v>
      </c>
      <c r="H22" s="47" t="n">
        <v>772534.5126708702</v>
      </c>
      <c r="I22" s="46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3" customWidth="1" min="5" max="5"/>
    <col width="16" customWidth="1" min="6" max="6"/>
    <col width="13" customWidth="1" min="7" max="7"/>
    <col width="14" customWidth="1" min="8" max="8"/>
    <col width="12" customWidth="1" min="9" max="9"/>
  </cols>
  <sheetData>
    <row r="1">
      <c r="A1" s="25" t="inlineStr">
        <is>
          <t>CENÁRIO B · Detalhe por parcela após amortização CC 354 (PIX + via adv)</t>
        </is>
      </c>
    </row>
    <row r="3">
      <c r="A3" s="8" t="inlineStr">
        <is>
          <t>Parcela</t>
        </is>
      </c>
      <c r="B3" s="8" t="inlineStr">
        <is>
          <t>Venc.</t>
        </is>
      </c>
      <c r="C3" s="8" t="inlineStr">
        <is>
          <t>Principal inicial</t>
        </is>
      </c>
      <c r="D3" s="8" t="inlineStr">
        <is>
          <t>Principal pago</t>
        </is>
      </c>
      <c r="E3" s="8" t="inlineStr">
        <is>
          <t>Juros pago</t>
        </is>
      </c>
      <c r="F3" s="8" t="inlineStr">
        <is>
          <t>Principal remanescente</t>
        </is>
      </c>
      <c r="G3" s="8" t="inlineStr">
        <is>
          <t>Juros acumulado</t>
        </is>
      </c>
      <c r="H3" s="8" t="inlineStr">
        <is>
          <t>SALDO 30/06/2026</t>
        </is>
      </c>
      <c r="I3" s="8" t="inlineStr">
        <is>
          <t>Status</t>
        </is>
      </c>
    </row>
    <row r="4">
      <c r="A4" s="26" t="inlineStr">
        <is>
          <t>01/2025</t>
        </is>
      </c>
      <c r="B4" s="26" t="inlineStr">
        <is>
          <t>01/01/2025</t>
        </is>
      </c>
      <c r="C4" s="27" t="n">
        <v>50290</v>
      </c>
      <c r="D4" s="28" t="n">
        <v>50290</v>
      </c>
      <c r="E4" s="29" t="n">
        <v>2195.578836329201</v>
      </c>
      <c r="F4" s="27" t="n">
        <v>0</v>
      </c>
      <c r="G4" s="27" t="n">
        <v>0</v>
      </c>
      <c r="H4" s="30" t="n">
        <v>0</v>
      </c>
      <c r="I4" s="31" t="inlineStr">
        <is>
          <t>QUITADA</t>
        </is>
      </c>
    </row>
    <row r="5">
      <c r="A5" s="26" t="inlineStr">
        <is>
          <t>02/2025</t>
        </is>
      </c>
      <c r="B5" s="26" t="inlineStr">
        <is>
          <t>01/02/2025</t>
        </is>
      </c>
      <c r="C5" s="27" t="n">
        <v>50290</v>
      </c>
      <c r="D5" s="28" t="n">
        <v>50290</v>
      </c>
      <c r="E5" s="29" t="n">
        <v>2301.184972223382</v>
      </c>
      <c r="F5" s="27" t="n">
        <v>0</v>
      </c>
      <c r="G5" s="27" t="n">
        <v>0</v>
      </c>
      <c r="H5" s="30" t="n">
        <v>0</v>
      </c>
      <c r="I5" s="31" t="inlineStr">
        <is>
          <t>QUITADA</t>
        </is>
      </c>
    </row>
    <row r="6">
      <c r="A6" s="26" t="inlineStr">
        <is>
          <t>03/2025</t>
        </is>
      </c>
      <c r="B6" s="26" t="inlineStr">
        <is>
          <t>01/03/2025</t>
        </is>
      </c>
      <c r="C6" s="27" t="n">
        <v>50290</v>
      </c>
      <c r="D6" s="28" t="n">
        <v>50290</v>
      </c>
      <c r="E6" s="29" t="n">
        <v>3231.956737432367</v>
      </c>
      <c r="F6" s="27" t="n">
        <v>0</v>
      </c>
      <c r="G6" s="27" t="n">
        <v>0</v>
      </c>
      <c r="H6" s="30" t="n">
        <v>0</v>
      </c>
      <c r="I6" s="31" t="inlineStr">
        <is>
          <t>QUITADA</t>
        </is>
      </c>
    </row>
    <row r="7">
      <c r="A7" s="26" t="inlineStr">
        <is>
          <t>04/2025</t>
        </is>
      </c>
      <c r="B7" s="26" t="inlineStr">
        <is>
          <t>01/04/2025</t>
        </is>
      </c>
      <c r="C7" s="27" t="n">
        <v>50290</v>
      </c>
      <c r="D7" s="28" t="n">
        <v>50290</v>
      </c>
      <c r="E7" s="29" t="n">
        <v>3211.332167641638</v>
      </c>
      <c r="F7" s="27" t="n">
        <v>0</v>
      </c>
      <c r="G7" s="27" t="n">
        <v>0</v>
      </c>
      <c r="H7" s="30" t="n">
        <v>0</v>
      </c>
      <c r="I7" s="31" t="inlineStr">
        <is>
          <t>QUITADA</t>
        </is>
      </c>
    </row>
    <row r="8">
      <c r="A8" s="26" t="inlineStr">
        <is>
          <t>05/2025</t>
        </is>
      </c>
      <c r="B8" s="26" t="inlineStr">
        <is>
          <t>01/05/2025</t>
        </is>
      </c>
      <c r="C8" s="27" t="n">
        <v>50290</v>
      </c>
      <c r="D8" s="28" t="n">
        <v>50290</v>
      </c>
      <c r="E8" s="29" t="n">
        <v>3539.659647796288</v>
      </c>
      <c r="F8" s="27" t="n">
        <v>0</v>
      </c>
      <c r="G8" s="27" t="n">
        <v>0</v>
      </c>
      <c r="H8" s="30" t="n">
        <v>0</v>
      </c>
      <c r="I8" s="31" t="inlineStr">
        <is>
          <t>QUITADA</t>
        </is>
      </c>
    </row>
    <row r="9">
      <c r="A9" s="26" t="inlineStr">
        <is>
          <t>06/2025</t>
        </is>
      </c>
      <c r="B9" s="26" t="inlineStr">
        <is>
          <t>01/06/2025</t>
        </is>
      </c>
      <c r="C9" s="27" t="n">
        <v>50290</v>
      </c>
      <c r="D9" s="28" t="n">
        <v>50290</v>
      </c>
      <c r="E9" s="29" t="n">
        <v>3848.499281981361</v>
      </c>
      <c r="F9" s="27" t="n">
        <v>0</v>
      </c>
      <c r="G9" s="27" t="n">
        <v>0</v>
      </c>
      <c r="H9" s="30" t="n">
        <v>0</v>
      </c>
      <c r="I9" s="31" t="inlineStr">
        <is>
          <t>QUITADA</t>
        </is>
      </c>
    </row>
    <row r="10">
      <c r="A10" s="26" t="inlineStr">
        <is>
          <t>07/2025</t>
        </is>
      </c>
      <c r="B10" s="26" t="inlineStr">
        <is>
          <t>01/07/2025</t>
        </is>
      </c>
      <c r="C10" s="27" t="n">
        <v>50290</v>
      </c>
      <c r="D10" s="28" t="n">
        <v>50290</v>
      </c>
      <c r="E10" s="29" t="n">
        <v>4436.809656559242</v>
      </c>
      <c r="F10" s="27" t="n">
        <v>0</v>
      </c>
      <c r="G10" s="27" t="n">
        <v>0</v>
      </c>
      <c r="H10" s="30" t="n">
        <v>0</v>
      </c>
      <c r="I10" s="31" t="inlineStr">
        <is>
          <t>QUITADA</t>
        </is>
      </c>
    </row>
    <row r="11">
      <c r="A11" s="26" t="inlineStr">
        <is>
          <t>08/2025</t>
        </is>
      </c>
      <c r="B11" s="26" t="inlineStr">
        <is>
          <t>01/08/2025</t>
        </is>
      </c>
      <c r="C11" s="27" t="n">
        <v>50290</v>
      </c>
      <c r="D11" s="28" t="n">
        <v>50290</v>
      </c>
      <c r="E11" s="29" t="n">
        <v>4364.877106605222</v>
      </c>
      <c r="F11" s="27" t="n">
        <v>0</v>
      </c>
      <c r="G11" s="27" t="n">
        <v>0</v>
      </c>
      <c r="H11" s="30" t="n">
        <v>0</v>
      </c>
      <c r="I11" s="31" t="inlineStr">
        <is>
          <t>QUITADA</t>
        </is>
      </c>
    </row>
    <row r="12">
      <c r="A12" s="32" t="inlineStr">
        <is>
          <t>09/2025</t>
        </is>
      </c>
      <c r="B12" s="32" t="inlineStr">
        <is>
          <t>01/09/2025</t>
        </is>
      </c>
      <c r="C12" s="33" t="n">
        <v>50290</v>
      </c>
      <c r="D12" s="34" t="n">
        <v>19311.7542629544</v>
      </c>
      <c r="E12" s="35" t="n">
        <v>4523.207330476907</v>
      </c>
      <c r="F12" s="36" t="n">
        <v>30978.2457370456</v>
      </c>
      <c r="G12" s="37" t="n">
        <v>201.3881800820454</v>
      </c>
      <c r="H12" s="38" t="n">
        <v>31179.63391712764</v>
      </c>
      <c r="I12" s="39" t="inlineStr">
        <is>
          <t>PARCIAL</t>
        </is>
      </c>
    </row>
    <row r="13">
      <c r="A13" s="40" t="inlineStr">
        <is>
          <t>10/2025</t>
        </is>
      </c>
      <c r="B13" s="40" t="inlineStr">
        <is>
          <t>01/10/2025</t>
        </is>
      </c>
      <c r="C13" s="41" t="n">
        <v>50290</v>
      </c>
      <c r="D13" s="41" t="n">
        <v>0</v>
      </c>
      <c r="E13" s="41" t="n">
        <v>0</v>
      </c>
      <c r="F13" s="42" t="n">
        <v>50290</v>
      </c>
      <c r="G13" s="43" t="n">
        <v>4403.046259871582</v>
      </c>
      <c r="H13" s="44" t="n">
        <v>54693.04625987158</v>
      </c>
      <c r="I13" s="45" t="inlineStr">
        <is>
          <t>EM ABERTO</t>
        </is>
      </c>
    </row>
    <row r="14">
      <c r="A14" s="40" t="inlineStr">
        <is>
          <t>11/2025</t>
        </is>
      </c>
      <c r="B14" s="40" t="inlineStr">
        <is>
          <t>01/11/2025</t>
        </is>
      </c>
      <c r="C14" s="41" t="n">
        <v>50290</v>
      </c>
      <c r="D14" s="41" t="n">
        <v>0</v>
      </c>
      <c r="E14" s="41" t="n">
        <v>0</v>
      </c>
      <c r="F14" s="42" t="n">
        <v>50290</v>
      </c>
      <c r="G14" s="43" t="n">
        <v>3882.369338781922</v>
      </c>
      <c r="H14" s="44" t="n">
        <v>54172.36933878192</v>
      </c>
      <c r="I14" s="45" t="inlineStr">
        <is>
          <t>EM ABERTO</t>
        </is>
      </c>
    </row>
    <row r="15">
      <c r="A15" s="40" t="inlineStr">
        <is>
          <t>12/2025</t>
        </is>
      </c>
      <c r="B15" s="40" t="inlineStr">
        <is>
          <t>01/12/2025</t>
        </is>
      </c>
      <c r="C15" s="41" t="n">
        <v>50290</v>
      </c>
      <c r="D15" s="41" t="n">
        <v>0</v>
      </c>
      <c r="E15" s="41" t="n">
        <v>0</v>
      </c>
      <c r="F15" s="42" t="n">
        <v>50290</v>
      </c>
      <c r="G15" s="43" t="n">
        <v>3383.20849973437</v>
      </c>
      <c r="H15" s="44" t="n">
        <v>53673.20849973437</v>
      </c>
      <c r="I15" s="45" t="inlineStr">
        <is>
          <t>EM ABERTO</t>
        </is>
      </c>
    </row>
    <row r="16">
      <c r="A16" s="40" t="inlineStr">
        <is>
          <t>01/2026</t>
        </is>
      </c>
      <c r="B16" s="40" t="inlineStr">
        <is>
          <t>01/01/2026</t>
        </is>
      </c>
      <c r="C16" s="41" t="n">
        <v>50800</v>
      </c>
      <c r="D16" s="41" t="n">
        <v>0</v>
      </c>
      <c r="E16" s="41" t="n">
        <v>0</v>
      </c>
      <c r="F16" s="42" t="n">
        <v>50800</v>
      </c>
      <c r="G16" s="43" t="n">
        <v>2901.368328105804</v>
      </c>
      <c r="H16" s="44" t="n">
        <v>53701.3683281058</v>
      </c>
      <c r="I16" s="45" t="inlineStr">
        <is>
          <t>EM ABERTO</t>
        </is>
      </c>
    </row>
    <row r="17">
      <c r="A17" s="40" t="inlineStr">
        <is>
          <t>02/2026</t>
        </is>
      </c>
      <c r="B17" s="40" t="inlineStr">
        <is>
          <t>01/02/2026</t>
        </is>
      </c>
      <c r="C17" s="41" t="n">
        <v>50800</v>
      </c>
      <c r="D17" s="41" t="n">
        <v>0</v>
      </c>
      <c r="E17" s="41" t="n">
        <v>0</v>
      </c>
      <c r="F17" s="42" t="n">
        <v>50800</v>
      </c>
      <c r="G17" s="43" t="n">
        <v>2390.132164983246</v>
      </c>
      <c r="H17" s="44" t="n">
        <v>53190.13216498325</v>
      </c>
      <c r="I17" s="45" t="inlineStr">
        <is>
          <t>EM ABERTO</t>
        </is>
      </c>
    </row>
    <row r="18">
      <c r="A18" s="40" t="inlineStr">
        <is>
          <t>03/2026</t>
        </is>
      </c>
      <c r="B18" s="40" t="inlineStr">
        <is>
          <t>01/03/2026</t>
        </is>
      </c>
      <c r="C18" s="41" t="n">
        <v>50800</v>
      </c>
      <c r="D18" s="41" t="n">
        <v>0</v>
      </c>
      <c r="E18" s="41" t="n">
        <v>0</v>
      </c>
      <c r="F18" s="42" t="n">
        <v>50800</v>
      </c>
      <c r="G18" s="43" t="n">
        <v>1932.555013276673</v>
      </c>
      <c r="H18" s="44" t="n">
        <v>52732.55501327667</v>
      </c>
      <c r="I18" s="45" t="inlineStr">
        <is>
          <t>EM ABERTO</t>
        </is>
      </c>
    </row>
    <row r="19">
      <c r="A19" s="40" t="inlineStr">
        <is>
          <t>04/2026</t>
        </is>
      </c>
      <c r="B19" s="40" t="inlineStr">
        <is>
          <t>01/04/2026</t>
        </is>
      </c>
      <c r="C19" s="41" t="n">
        <v>50800</v>
      </c>
      <c r="D19" s="41" t="n">
        <v>0</v>
      </c>
      <c r="E19" s="41" t="n">
        <v>0</v>
      </c>
      <c r="F19" s="42" t="n">
        <v>50800</v>
      </c>
      <c r="G19" s="43" t="n">
        <v>1430.541937335613</v>
      </c>
      <c r="H19" s="44" t="n">
        <v>52230.54193733561</v>
      </c>
      <c r="I19" s="45" t="inlineStr">
        <is>
          <t>EM ABERTO</t>
        </is>
      </c>
    </row>
    <row r="20">
      <c r="A20" s="40" t="inlineStr">
        <is>
          <t>05/2026</t>
        </is>
      </c>
      <c r="B20" s="40" t="inlineStr">
        <is>
          <t>01/05/2026</t>
        </is>
      </c>
      <c r="C20" s="41" t="n">
        <v>50800</v>
      </c>
      <c r="D20" s="41" t="n">
        <v>0</v>
      </c>
      <c r="E20" s="41" t="n">
        <v>0</v>
      </c>
      <c r="F20" s="42" t="n">
        <v>50800</v>
      </c>
      <c r="G20" s="43" t="n">
        <v>949.273692000017</v>
      </c>
      <c r="H20" s="44" t="n">
        <v>51749.27369200002</v>
      </c>
      <c r="I20" s="45" t="inlineStr">
        <is>
          <t>EM ABERTO</t>
        </is>
      </c>
    </row>
    <row r="21">
      <c r="A21" s="40" t="inlineStr">
        <is>
          <t>06/2026</t>
        </is>
      </c>
      <c r="B21" s="40" t="inlineStr">
        <is>
          <t>01/06/2026</t>
        </is>
      </c>
      <c r="C21" s="41" t="n">
        <v>50800</v>
      </c>
      <c r="D21" s="41" t="n">
        <v>0</v>
      </c>
      <c r="E21" s="41" t="n">
        <v>0</v>
      </c>
      <c r="F21" s="42" t="n">
        <v>50800</v>
      </c>
      <c r="G21" s="43" t="n">
        <v>456.621438429218</v>
      </c>
      <c r="H21" s="44" t="n">
        <v>51256.62143842922</v>
      </c>
      <c r="I21" s="45" t="inlineStr">
        <is>
          <t>EM ABERTO</t>
        </is>
      </c>
    </row>
    <row r="22">
      <c r="A22" s="46" t="inlineStr">
        <is>
          <t>TOTAL ALIMENTAR</t>
        </is>
      </c>
      <c r="B22" s="46" t="n"/>
      <c r="C22" s="47" t="n">
        <v>908280</v>
      </c>
      <c r="D22" s="47" t="n">
        <v>421631.7542629544</v>
      </c>
      <c r="E22" s="47" t="n">
        <v>31653.10573704561</v>
      </c>
      <c r="F22" s="47" t="n">
        <v>486648.2457370456</v>
      </c>
      <c r="G22" s="47" t="n">
        <v>21930.50485260049</v>
      </c>
      <c r="H22" s="47" t="n">
        <v>508578.7505896461</v>
      </c>
      <c r="I22" s="46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8" customWidth="1" min="6" max="6"/>
    <col width="8" customWidth="1" min="7" max="7"/>
  </cols>
  <sheetData>
    <row r="1">
      <c r="A1" s="25" t="inlineStr">
        <is>
          <t>LOG DE AMORTIZAÇÃO EM TEMPO REAL · Cenário A · CC 354</t>
        </is>
      </c>
    </row>
    <row r="2">
      <c r="A2" s="3" t="inlineStr">
        <is>
          <t>Cada pagamento é aplicado às parcelas mais antigas, abatendo primeiro juros, depois principal</t>
        </is>
      </c>
    </row>
    <row r="4">
      <c r="A4" s="46" t="inlineStr">
        <is>
          <t>EVENTO · 23/01/2026 · PIX direto Ari</t>
        </is>
      </c>
      <c r="B4" s="46" t="inlineStr">
        <is>
          <t>Valor recebido: R$ 78,521.53</t>
        </is>
      </c>
      <c r="C4" s="48" t="n"/>
      <c r="D4" s="48" t="n"/>
      <c r="E4" s="48" t="n"/>
      <c r="F4" s="48" t="n"/>
      <c r="G4" s="49" t="n"/>
    </row>
    <row r="5">
      <c r="A5" s="8" t="inlineStr">
        <is>
          <t>Parcela</t>
        </is>
      </c>
      <c r="B5" s="8" t="inlineStr">
        <is>
          <t>Pago em JUROS</t>
        </is>
      </c>
      <c r="C5" s="8" t="inlineStr">
        <is>
          <t>Pago em PRINCIPAL</t>
        </is>
      </c>
      <c r="D5" s="8" t="inlineStr">
        <is>
          <t>Total abatido</t>
        </is>
      </c>
      <c r="E5" s="8" t="inlineStr">
        <is>
          <t>Saldo pós</t>
        </is>
      </c>
      <c r="F5" t="inlineStr"/>
      <c r="G5" t="inlineStr"/>
    </row>
    <row r="6">
      <c r="A6" s="26" t="inlineStr">
        <is>
          <t>01/2025</t>
        </is>
      </c>
      <c r="B6" s="50" t="n">
        <v>6378.688347843607</v>
      </c>
      <c r="C6" s="51" t="n">
        <v>50290</v>
      </c>
      <c r="D6" s="27" t="n">
        <v>56668.68834784361</v>
      </c>
      <c r="E6" s="27" t="n">
        <v>0</v>
      </c>
    </row>
    <row r="7">
      <c r="A7" s="26" t="inlineStr">
        <is>
          <t>02/2025</t>
        </is>
      </c>
      <c r="B7" s="50" t="n">
        <v>5839.203345839</v>
      </c>
      <c r="C7" s="51" t="n">
        <v>16013.63830631739</v>
      </c>
      <c r="D7" s="27" t="n">
        <v>21852.84165215639</v>
      </c>
      <c r="E7" s="27" t="n">
        <v>34276.36169368261</v>
      </c>
    </row>
    <row r="9">
      <c r="A9" s="46" t="inlineStr">
        <is>
          <t>EVENTO · 01/04/2026 · PIX direto Ari</t>
        </is>
      </c>
      <c r="B9" s="46" t="inlineStr">
        <is>
          <t>Valor recebido: R$ 23,807.55</t>
        </is>
      </c>
      <c r="C9" s="48" t="n"/>
      <c r="D9" s="48" t="n"/>
      <c r="E9" s="48" t="n"/>
      <c r="F9" s="48" t="n"/>
      <c r="G9" s="49" t="n"/>
    </row>
    <row r="10">
      <c r="A10" s="8" t="inlineStr">
        <is>
          <t>Parcela</t>
        </is>
      </c>
      <c r="B10" s="8" t="inlineStr">
        <is>
          <t>Pago em JUROS</t>
        </is>
      </c>
      <c r="C10" s="8" t="inlineStr">
        <is>
          <t>Pago em PRINCIPAL</t>
        </is>
      </c>
      <c r="D10" s="8" t="inlineStr">
        <is>
          <t>Total abatido</t>
        </is>
      </c>
      <c r="E10" s="8" t="inlineStr">
        <is>
          <t>Saldo pós</t>
        </is>
      </c>
      <c r="F10" t="inlineStr"/>
      <c r="G10" t="inlineStr"/>
    </row>
    <row r="11">
      <c r="A11" s="26" t="inlineStr">
        <is>
          <t>02/2025</t>
        </is>
      </c>
      <c r="B11" s="50" t="n">
        <v>726.8050108464231</v>
      </c>
      <c r="C11" s="51" t="n">
        <v>23080.74498915358</v>
      </c>
      <c r="D11" s="27" t="n">
        <v>23807.55</v>
      </c>
      <c r="E11" s="27" t="n">
        <v>11195.61670452903</v>
      </c>
    </row>
    <row r="13">
      <c r="A13" s="46" t="inlineStr">
        <is>
          <t>EVENTO · 01/04/2026 · PIX direto Ari</t>
        </is>
      </c>
      <c r="B13" s="46" t="inlineStr">
        <is>
          <t>Valor recebido: R$ 50,000.00</t>
        </is>
      </c>
      <c r="C13" s="48" t="n"/>
      <c r="D13" s="48" t="n"/>
      <c r="E13" s="48" t="n"/>
      <c r="F13" s="48" t="n"/>
      <c r="G13" s="49" t="n"/>
    </row>
    <row r="14">
      <c r="A14" s="8" t="inlineStr">
        <is>
          <t>Parcela</t>
        </is>
      </c>
      <c r="B14" s="8" t="inlineStr">
        <is>
          <t>Pago em JUROS</t>
        </is>
      </c>
      <c r="C14" s="8" t="inlineStr">
        <is>
          <t>Pago em PRINCIPAL</t>
        </is>
      </c>
      <c r="D14" s="8" t="inlineStr">
        <is>
          <t>Total abatido</t>
        </is>
      </c>
      <c r="E14" s="8" t="inlineStr">
        <is>
          <t>Saldo pós</t>
        </is>
      </c>
      <c r="F14" t="inlineStr"/>
      <c r="G14" t="inlineStr"/>
    </row>
    <row r="15">
      <c r="A15" s="26" t="inlineStr">
        <is>
          <t>02/2025</t>
        </is>
      </c>
      <c r="B15" s="50" t="n">
        <v>0</v>
      </c>
      <c r="C15" s="51" t="n">
        <v>11195.61670452903</v>
      </c>
      <c r="D15" s="27" t="n">
        <v>11195.61670452903</v>
      </c>
      <c r="E15" s="27" t="n">
        <v>0</v>
      </c>
    </row>
    <row r="16">
      <c r="A16" s="26" t="inlineStr">
        <is>
          <t>03/2025</t>
        </is>
      </c>
      <c r="B16" s="50" t="n">
        <v>6536.282049685731</v>
      </c>
      <c r="C16" s="51" t="n">
        <v>32268.10124578523</v>
      </c>
      <c r="D16" s="27" t="n">
        <v>38804.38329547097</v>
      </c>
      <c r="E16" s="27" t="n">
        <v>18021.89875421477</v>
      </c>
    </row>
    <row r="18">
      <c r="A18" s="46" t="inlineStr">
        <is>
          <t>EVENTO · 04/05/2026 · PIX direto Ari</t>
        </is>
      </c>
      <c r="B18" s="46" t="inlineStr">
        <is>
          <t>Valor recebido: R$ 6,600.00</t>
        </is>
      </c>
      <c r="C18" s="48" t="n"/>
      <c r="D18" s="48" t="n"/>
      <c r="E18" s="48" t="n"/>
      <c r="F18" s="48" t="n"/>
      <c r="G18" s="49" t="n"/>
    </row>
    <row r="19">
      <c r="A19" s="8" t="inlineStr">
        <is>
          <t>Parcela</t>
        </is>
      </c>
      <c r="B19" s="8" t="inlineStr">
        <is>
          <t>Pago em JUROS</t>
        </is>
      </c>
      <c r="C19" s="8" t="inlineStr">
        <is>
          <t>Pago em PRINCIPAL</t>
        </is>
      </c>
      <c r="D19" s="8" t="inlineStr">
        <is>
          <t>Total abatido</t>
        </is>
      </c>
      <c r="E19" s="8" t="inlineStr">
        <is>
          <t>Saldo pós</t>
        </is>
      </c>
      <c r="F19" t="inlineStr"/>
      <c r="G19" t="inlineStr"/>
    </row>
    <row r="20">
      <c r="A20" s="26" t="inlineStr">
        <is>
          <t>03/2025</t>
        </is>
      </c>
      <c r="B20" s="50" t="n">
        <v>184.4495153931639</v>
      </c>
      <c r="C20" s="51" t="n">
        <v>6415.550484606836</v>
      </c>
      <c r="D20" s="27" t="n">
        <v>6600</v>
      </c>
      <c r="E20" s="27" t="n">
        <v>11606.34826960793</v>
      </c>
    </row>
    <row r="22">
      <c r="A22" s="46" t="inlineStr">
        <is>
          <t>EVENTO · 04/05/2026 · PIX direto Ari</t>
        </is>
      </c>
      <c r="B22" s="46" t="inlineStr">
        <is>
          <t>Valor recebido: R$ 24,300.00</t>
        </is>
      </c>
      <c r="C22" s="48" t="n"/>
      <c r="D22" s="48" t="n"/>
      <c r="E22" s="48" t="n"/>
      <c r="F22" s="48" t="n"/>
      <c r="G22" s="49" t="n"/>
    </row>
    <row r="23">
      <c r="A23" s="8" t="inlineStr">
        <is>
          <t>Parcela</t>
        </is>
      </c>
      <c r="B23" s="8" t="inlineStr">
        <is>
          <t>Pago em JUROS</t>
        </is>
      </c>
      <c r="C23" s="8" t="inlineStr">
        <is>
          <t>Pago em PRINCIPAL</t>
        </is>
      </c>
      <c r="D23" s="8" t="inlineStr">
        <is>
          <t>Total abatido</t>
        </is>
      </c>
      <c r="E23" s="8" t="inlineStr">
        <is>
          <t>Saldo pós</t>
        </is>
      </c>
      <c r="F23" t="inlineStr"/>
      <c r="G23" t="inlineStr"/>
    </row>
    <row r="24">
      <c r="A24" s="26" t="inlineStr">
        <is>
          <t>03/2025</t>
        </is>
      </c>
      <c r="B24" s="50" t="n">
        <v>0</v>
      </c>
      <c r="C24" s="51" t="n">
        <v>11606.34826960793</v>
      </c>
      <c r="D24" s="27" t="n">
        <v>11606.34826960793</v>
      </c>
      <c r="E24" s="27" t="n">
        <v>0</v>
      </c>
    </row>
    <row r="25">
      <c r="A25" s="26" t="inlineStr">
        <is>
          <t>04/2025</t>
        </is>
      </c>
      <c r="B25" s="50" t="n">
        <v>6571.362346621696</v>
      </c>
      <c r="C25" s="51" t="n">
        <v>6122.289383770374</v>
      </c>
      <c r="D25" s="27" t="n">
        <v>12693.65173039207</v>
      </c>
      <c r="E25" s="27" t="n">
        <v>44167.71061622963</v>
      </c>
    </row>
    <row r="27">
      <c r="A27" s="46" t="inlineStr">
        <is>
          <t>EVENTO · 03/06/2026 · PIX direto Ari</t>
        </is>
      </c>
      <c r="B27" s="46" t="inlineStr">
        <is>
          <t>Valor recebido: R$ 24,300.00</t>
        </is>
      </c>
      <c r="C27" s="48" t="n"/>
      <c r="D27" s="48" t="n"/>
      <c r="E27" s="48" t="n"/>
      <c r="F27" s="48" t="n"/>
      <c r="G27" s="49" t="n"/>
    </row>
    <row r="28">
      <c r="A28" s="8" t="inlineStr">
        <is>
          <t>Parcela</t>
        </is>
      </c>
      <c r="B28" s="8" t="inlineStr">
        <is>
          <t>Pago em JUROS</t>
        </is>
      </c>
      <c r="C28" s="8" t="inlineStr">
        <is>
          <t>Pago em PRINCIPAL</t>
        </is>
      </c>
      <c r="D28" s="8" t="inlineStr">
        <is>
          <t>Total abatido</t>
        </is>
      </c>
      <c r="E28" s="8" t="inlineStr">
        <is>
          <t>Saldo pós</t>
        </is>
      </c>
      <c r="F28" t="inlineStr"/>
      <c r="G28" t="inlineStr"/>
    </row>
    <row r="29">
      <c r="A29" s="26" t="inlineStr">
        <is>
          <t>04/2025</t>
        </is>
      </c>
      <c r="B29" s="50" t="n">
        <v>410.7597087309405</v>
      </c>
      <c r="C29" s="51" t="n">
        <v>23889.24029126906</v>
      </c>
      <c r="D29" s="27" t="n">
        <v>24300</v>
      </c>
      <c r="E29" s="27" t="n">
        <v>20278.47032496057</v>
      </c>
    </row>
    <row r="31">
      <c r="A31" s="46" t="inlineStr">
        <is>
          <t>EVENTO · 09/06/2026 · PIX direto Ari</t>
        </is>
      </c>
      <c r="B31" s="46" t="inlineStr">
        <is>
          <t>Valor recebido: R$ 6,600.00</t>
        </is>
      </c>
      <c r="C31" s="48" t="n"/>
      <c r="D31" s="48" t="n"/>
      <c r="E31" s="48" t="n"/>
      <c r="F31" s="48" t="n"/>
      <c r="G31" s="49" t="n"/>
    </row>
    <row r="32">
      <c r="A32" s="8" t="inlineStr">
        <is>
          <t>Parcela</t>
        </is>
      </c>
      <c r="B32" s="8" t="inlineStr">
        <is>
          <t>Pago em JUROS</t>
        </is>
      </c>
      <c r="C32" s="8" t="inlineStr">
        <is>
          <t>Pago em PRINCIPAL</t>
        </is>
      </c>
      <c r="D32" s="8" t="inlineStr">
        <is>
          <t>Total abatido</t>
        </is>
      </c>
      <c r="E32" s="8" t="inlineStr">
        <is>
          <t>Saldo pós</t>
        </is>
      </c>
      <c r="F32" t="inlineStr"/>
      <c r="G32" t="inlineStr"/>
    </row>
    <row r="33">
      <c r="A33" s="26" t="inlineStr">
        <is>
          <t>04/2025</t>
        </is>
      </c>
      <c r="B33" s="50" t="n">
        <v>37.5784218856279</v>
      </c>
      <c r="C33" s="51" t="n">
        <v>6562.421578114372</v>
      </c>
      <c r="D33" s="27" t="n">
        <v>6600</v>
      </c>
      <c r="E33" s="27" t="n">
        <v>13716.04874684619</v>
      </c>
    </row>
  </sheetData>
  <mergeCells count="9">
    <mergeCell ref="A1:G1"/>
    <mergeCell ref="B22:G22"/>
    <mergeCell ref="B31:G31"/>
    <mergeCell ref="B9:G9"/>
    <mergeCell ref="B27:G27"/>
    <mergeCell ref="B4:G4"/>
    <mergeCell ref="A2:G2"/>
    <mergeCell ref="B18:G18"/>
    <mergeCell ref="B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8" customWidth="1" min="6" max="6"/>
    <col width="8" customWidth="1" min="7" max="7"/>
  </cols>
  <sheetData>
    <row r="1">
      <c r="A1" s="25" t="inlineStr">
        <is>
          <t>LOG DE AMORTIZAÇÃO EM TEMPO REAL · Cenário B · CC 354 (PIX + via adv)</t>
        </is>
      </c>
    </row>
    <row r="3">
      <c r="A3" s="46" t="inlineStr">
        <is>
          <t>EVENTO · 04/04/2025 · Via adv · Cantagallo (PIX)</t>
        </is>
      </c>
      <c r="B3" s="46" t="inlineStr">
        <is>
          <t>Valor recebido: R$ 22,710.04</t>
        </is>
      </c>
      <c r="C3" s="48" t="n"/>
      <c r="D3" s="48" t="n"/>
      <c r="E3" s="48" t="n"/>
      <c r="F3" s="48" t="n"/>
      <c r="G3" s="49" t="n"/>
    </row>
    <row r="4">
      <c r="A4" s="8" t="inlineStr">
        <is>
          <t>Parcela</t>
        </is>
      </c>
      <c r="B4" s="8" t="inlineStr">
        <is>
          <t>Pago em JUROS</t>
        </is>
      </c>
      <c r="C4" s="8" t="inlineStr">
        <is>
          <t>Pago em PRINCIPAL</t>
        </is>
      </c>
      <c r="D4" s="8" t="inlineStr">
        <is>
          <t>Total abatido</t>
        </is>
      </c>
      <c r="E4" s="8" t="inlineStr">
        <is>
          <t>Saldo pós</t>
        </is>
      </c>
    </row>
    <row r="5">
      <c r="A5" s="26" t="inlineStr">
        <is>
          <t>01/2025</t>
        </is>
      </c>
      <c r="B5" s="50" t="n">
        <v>1464.066879345504</v>
      </c>
      <c r="C5" s="51" t="n">
        <v>21245.9731206545</v>
      </c>
      <c r="D5" s="27" t="n">
        <v>22710.04</v>
      </c>
      <c r="E5" s="27" t="n">
        <v>29044.0268793455</v>
      </c>
    </row>
    <row r="7">
      <c r="A7" s="46" t="inlineStr">
        <is>
          <t>EVENTO · 16/06/2025 · Via adv · Cantagallo (PIX)</t>
        </is>
      </c>
      <c r="B7" s="46" t="inlineStr">
        <is>
          <t>Valor recebido: R$ 7,100.78</t>
        </is>
      </c>
      <c r="C7" s="48" t="n"/>
      <c r="D7" s="48" t="n"/>
      <c r="E7" s="48" t="n"/>
      <c r="F7" s="48" t="n"/>
      <c r="G7" s="49" t="n"/>
    </row>
    <row r="8">
      <c r="A8" s="8" t="inlineStr">
        <is>
          <t>Parcela</t>
        </is>
      </c>
      <c r="B8" s="8" t="inlineStr">
        <is>
          <t>Pago em JUROS</t>
        </is>
      </c>
      <c r="C8" s="8" t="inlineStr">
        <is>
          <t>Pago em PRINCIPAL</t>
        </is>
      </c>
      <c r="D8" s="8" t="inlineStr">
        <is>
          <t>Total abatido</t>
        </is>
      </c>
      <c r="E8" s="8" t="inlineStr">
        <is>
          <t>Saldo pós</t>
        </is>
      </c>
    </row>
    <row r="9">
      <c r="A9" s="26" t="inlineStr">
        <is>
          <t>01/2025</t>
        </is>
      </c>
      <c r="B9" s="50" t="n">
        <v>661.6528853405398</v>
      </c>
      <c r="C9" s="51" t="n">
        <v>6439.12711465946</v>
      </c>
      <c r="D9" s="27" t="n">
        <v>7100.78</v>
      </c>
      <c r="E9" s="27" t="n">
        <v>22604.89976468604</v>
      </c>
    </row>
    <row r="11">
      <c r="A11" s="46" t="inlineStr">
        <is>
          <t>EVENTO · 26/06/2025 · Via adv · Cantagallo (TED)</t>
        </is>
      </c>
      <c r="B11" s="46" t="inlineStr">
        <is>
          <t>Valor recebido: R$ 88,068.75</t>
        </is>
      </c>
      <c r="C11" s="48" t="n"/>
      <c r="D11" s="48" t="n"/>
      <c r="E11" s="48" t="n"/>
      <c r="F11" s="48" t="n"/>
      <c r="G11" s="49" t="n"/>
    </row>
    <row r="12">
      <c r="A12" s="8" t="inlineStr">
        <is>
          <t>Parcela</t>
        </is>
      </c>
      <c r="B12" s="8" t="inlineStr">
        <is>
          <t>Pago em JUROS</t>
        </is>
      </c>
      <c r="C12" s="8" t="inlineStr">
        <is>
          <t>Pago em PRINCIPAL</t>
        </is>
      </c>
      <c r="D12" s="8" t="inlineStr">
        <is>
          <t>Total abatido</t>
        </is>
      </c>
      <c r="E12" s="8" t="inlineStr">
        <is>
          <t>Saldo pós</t>
        </is>
      </c>
    </row>
    <row r="13">
      <c r="A13" s="26" t="inlineStr">
        <is>
          <t>01/2025</t>
        </is>
      </c>
      <c r="B13" s="50" t="n">
        <v>69.85907164315722</v>
      </c>
      <c r="C13" s="51" t="n">
        <v>22604.89976468604</v>
      </c>
      <c r="D13" s="27" t="n">
        <v>22674.7588363292</v>
      </c>
      <c r="E13" s="27" t="n">
        <v>0</v>
      </c>
    </row>
    <row r="14">
      <c r="A14" s="26" t="inlineStr">
        <is>
          <t>02/2025</t>
        </is>
      </c>
      <c r="B14" s="50" t="n">
        <v>2301.184972223382</v>
      </c>
      <c r="C14" s="51" t="n">
        <v>50290</v>
      </c>
      <c r="D14" s="27" t="n">
        <v>52591.18497222338</v>
      </c>
      <c r="E14" s="27" t="n">
        <v>0</v>
      </c>
    </row>
    <row r="15">
      <c r="A15" s="26" t="inlineStr">
        <is>
          <t>03/2025</t>
        </is>
      </c>
      <c r="B15" s="50" t="n">
        <v>1848.760365534661</v>
      </c>
      <c r="C15" s="51" t="n">
        <v>10954.04582591276</v>
      </c>
      <c r="D15" s="27" t="n">
        <v>12802.80619144742</v>
      </c>
      <c r="E15" s="27" t="n">
        <v>39335.95417408724</v>
      </c>
    </row>
    <row r="17">
      <c r="A17" s="46" t="inlineStr">
        <is>
          <t>EVENTO · 16/10/2025 · Via adv · F.C. Eleutério (TED)</t>
        </is>
      </c>
      <c r="B17" s="46" t="inlineStr">
        <is>
          <t>Valor recebido: R$ 74,293.24</t>
        </is>
      </c>
      <c r="C17" s="48" t="n"/>
      <c r="D17" s="48" t="n"/>
      <c r="E17" s="48" t="n"/>
      <c r="F17" s="48" t="n"/>
      <c r="G17" s="49" t="n"/>
    </row>
    <row r="18">
      <c r="A18" s="8" t="inlineStr">
        <is>
          <t>Parcela</t>
        </is>
      </c>
      <c r="B18" s="8" t="inlineStr">
        <is>
          <t>Pago em JUROS</t>
        </is>
      </c>
      <c r="C18" s="8" t="inlineStr">
        <is>
          <t>Pago em PRINCIPAL</t>
        </is>
      </c>
      <c r="D18" s="8" t="inlineStr">
        <is>
          <t>Total abatido</t>
        </is>
      </c>
      <c r="E18" s="8" t="inlineStr">
        <is>
          <t>Saldo pós</t>
        </is>
      </c>
    </row>
    <row r="19">
      <c r="A19" s="26" t="inlineStr">
        <is>
          <t>03/2025</t>
        </is>
      </c>
      <c r="B19" s="50" t="n">
        <v>1383.196371897706</v>
      </c>
      <c r="C19" s="51" t="n">
        <v>39335.95417408724</v>
      </c>
      <c r="D19" s="27" t="n">
        <v>40719.15054598494</v>
      </c>
      <c r="E19" s="27" t="n">
        <v>0</v>
      </c>
    </row>
    <row r="20">
      <c r="A20" s="26" t="inlineStr">
        <is>
          <t>04/2025</t>
        </is>
      </c>
      <c r="B20" s="50" t="n">
        <v>3168.33634035664</v>
      </c>
      <c r="C20" s="51" t="n">
        <v>30405.75311365842</v>
      </c>
      <c r="D20" s="27" t="n">
        <v>33574.08945401506</v>
      </c>
      <c r="E20" s="27" t="n">
        <v>19884.24688634158</v>
      </c>
    </row>
    <row r="22">
      <c r="A22" s="46" t="inlineStr">
        <is>
          <t>EVENTO · 23/10/2025 · Via adv · F.C. Eleutério (TED)</t>
        </is>
      </c>
      <c r="B22" s="46" t="inlineStr">
        <is>
          <t>Valor recebido: R$ 46,982.97</t>
        </is>
      </c>
      <c r="C22" s="48" t="n"/>
      <c r="D22" s="48" t="n"/>
      <c r="E22" s="48" t="n"/>
      <c r="F22" s="48" t="n"/>
      <c r="G22" s="49" t="n"/>
    </row>
    <row r="23">
      <c r="A23" s="8" t="inlineStr">
        <is>
          <t>Parcela</t>
        </is>
      </c>
      <c r="B23" s="8" t="inlineStr">
        <is>
          <t>Pago em JUROS</t>
        </is>
      </c>
      <c r="C23" s="8" t="inlineStr">
        <is>
          <t>Pago em PRINCIPAL</t>
        </is>
      </c>
      <c r="D23" s="8" t="inlineStr">
        <is>
          <t>Total abatido</t>
        </is>
      </c>
      <c r="E23" s="8" t="inlineStr">
        <is>
          <t>Saldo pós</t>
        </is>
      </c>
    </row>
    <row r="24">
      <c r="A24" s="26" t="inlineStr">
        <is>
          <t>04/2025</t>
        </is>
      </c>
      <c r="B24" s="50" t="n">
        <v>42.99582728499809</v>
      </c>
      <c r="C24" s="51" t="n">
        <v>19884.24688634158</v>
      </c>
      <c r="D24" s="27" t="n">
        <v>19927.24271362658</v>
      </c>
      <c r="E24" s="27" t="n">
        <v>0</v>
      </c>
    </row>
    <row r="25">
      <c r="A25" s="26" t="inlineStr">
        <is>
          <t>05/2025</t>
        </is>
      </c>
      <c r="B25" s="50" t="n">
        <v>2790.282992465072</v>
      </c>
      <c r="C25" s="51" t="n">
        <v>24265.44429390835</v>
      </c>
      <c r="D25" s="27" t="n">
        <v>27055.72728637343</v>
      </c>
      <c r="E25" s="27" t="n">
        <v>26024.55570609165</v>
      </c>
    </row>
    <row r="27">
      <c r="A27" s="46" t="inlineStr">
        <is>
          <t>EVENTO · 23/01/2026 · PIX direto Ari</t>
        </is>
      </c>
      <c r="B27" s="46" t="inlineStr">
        <is>
          <t>Valor recebido: R$ 78,521.53</t>
        </is>
      </c>
      <c r="C27" s="48" t="n"/>
      <c r="D27" s="48" t="n"/>
      <c r="E27" s="48" t="n"/>
      <c r="F27" s="48" t="n"/>
      <c r="G27" s="49" t="n"/>
    </row>
    <row r="28">
      <c r="A28" s="8" t="inlineStr">
        <is>
          <t>Parcela</t>
        </is>
      </c>
      <c r="B28" s="8" t="inlineStr">
        <is>
          <t>Pago em JUROS</t>
        </is>
      </c>
      <c r="C28" s="8" t="inlineStr">
        <is>
          <t>Pago em PRINCIPAL</t>
        </is>
      </c>
      <c r="D28" s="8" t="inlineStr">
        <is>
          <t>Total abatido</t>
        </is>
      </c>
      <c r="E28" s="8" t="inlineStr">
        <is>
          <t>Saldo pós</t>
        </is>
      </c>
    </row>
    <row r="29">
      <c r="A29" s="26" t="inlineStr">
        <is>
          <t>05/2025</t>
        </is>
      </c>
      <c r="B29" s="50" t="n">
        <v>749.3766553312162</v>
      </c>
      <c r="C29" s="51" t="n">
        <v>26024.55570609165</v>
      </c>
      <c r="D29" s="27" t="n">
        <v>26773.93236142286</v>
      </c>
      <c r="E29" s="27" t="n">
        <v>0</v>
      </c>
    </row>
    <row r="30">
      <c r="A30" s="26" t="inlineStr">
        <is>
          <t>06/2025</t>
        </is>
      </c>
      <c r="B30" s="50" t="n">
        <v>3798.854650981666</v>
      </c>
      <c r="C30" s="51" t="n">
        <v>47948.74298759547</v>
      </c>
      <c r="D30" s="27" t="n">
        <v>51747.59763857714</v>
      </c>
      <c r="E30" s="27" t="n">
        <v>2341.257012404531</v>
      </c>
    </row>
    <row r="32">
      <c r="A32" s="46" t="inlineStr">
        <is>
          <t>EVENTO · 01/04/2026 · PIX direto Ari</t>
        </is>
      </c>
      <c r="B32" s="46" t="inlineStr">
        <is>
          <t>Valor recebido: R$ 23,807.55</t>
        </is>
      </c>
      <c r="C32" s="48" t="n"/>
      <c r="D32" s="48" t="n"/>
      <c r="E32" s="48" t="n"/>
      <c r="F32" s="48" t="n"/>
      <c r="G32" s="49" t="n"/>
    </row>
    <row r="33">
      <c r="A33" s="8" t="inlineStr">
        <is>
          <t>Parcela</t>
        </is>
      </c>
      <c r="B33" s="8" t="inlineStr">
        <is>
          <t>Pago em JUROS</t>
        </is>
      </c>
      <c r="C33" s="8" t="inlineStr">
        <is>
          <t>Pago em PRINCIPAL</t>
        </is>
      </c>
      <c r="D33" s="8" t="inlineStr">
        <is>
          <t>Total abatido</t>
        </is>
      </c>
      <c r="E33" s="8" t="inlineStr">
        <is>
          <t>Saldo pós</t>
        </is>
      </c>
    </row>
    <row r="34">
      <c r="A34" s="26" t="inlineStr">
        <is>
          <t>06/2025</t>
        </is>
      </c>
      <c r="B34" s="50" t="n">
        <v>49.64463099969453</v>
      </c>
      <c r="C34" s="51" t="n">
        <v>2341.257012404531</v>
      </c>
      <c r="D34" s="27" t="n">
        <v>2390.901643404225</v>
      </c>
      <c r="E34" s="27" t="n">
        <v>0</v>
      </c>
    </row>
    <row r="35">
      <c r="A35" s="26" t="inlineStr">
        <is>
          <t>07/2025</t>
        </is>
      </c>
      <c r="B35" s="50" t="n">
        <v>4436.809656559242</v>
      </c>
      <c r="C35" s="51" t="n">
        <v>16979.83870003653</v>
      </c>
      <c r="D35" s="27" t="n">
        <v>21416.64835659578</v>
      </c>
      <c r="E35" s="27" t="n">
        <v>33310.16129996347</v>
      </c>
    </row>
    <row r="37">
      <c r="A37" s="46" t="inlineStr">
        <is>
          <t>EVENTO · 01/04/2026 · PIX direto Ari</t>
        </is>
      </c>
      <c r="B37" s="46" t="inlineStr">
        <is>
          <t>Valor recebido: R$ 50,000.00</t>
        </is>
      </c>
      <c r="C37" s="48" t="n"/>
      <c r="D37" s="48" t="n"/>
      <c r="E37" s="48" t="n"/>
      <c r="F37" s="48" t="n"/>
      <c r="G37" s="49" t="n"/>
    </row>
    <row r="38">
      <c r="A38" s="8" t="inlineStr">
        <is>
          <t>Parcela</t>
        </is>
      </c>
      <c r="B38" s="8" t="inlineStr">
        <is>
          <t>Pago em JUROS</t>
        </is>
      </c>
      <c r="C38" s="8" t="inlineStr">
        <is>
          <t>Pago em PRINCIPAL</t>
        </is>
      </c>
      <c r="D38" s="8" t="inlineStr">
        <is>
          <t>Total abatido</t>
        </is>
      </c>
      <c r="E38" s="8" t="inlineStr">
        <is>
          <t>Saldo pós</t>
        </is>
      </c>
    </row>
    <row r="39">
      <c r="A39" s="26" t="inlineStr">
        <is>
          <t>07/2025</t>
        </is>
      </c>
      <c r="B39" s="50" t="n">
        <v>0</v>
      </c>
      <c r="C39" s="51" t="n">
        <v>33310.16129996347</v>
      </c>
      <c r="D39" s="27" t="n">
        <v>33310.16129996347</v>
      </c>
      <c r="E39" s="27" t="n">
        <v>0</v>
      </c>
    </row>
    <row r="40">
      <c r="A40" s="26" t="inlineStr">
        <is>
          <t>08/2025</t>
        </is>
      </c>
      <c r="B40" s="50" t="n">
        <v>3915.811308475932</v>
      </c>
      <c r="C40" s="51" t="n">
        <v>12774.0273915606</v>
      </c>
      <c r="D40" s="27" t="n">
        <v>16689.83870003653</v>
      </c>
      <c r="E40" s="27" t="n">
        <v>37515.9726084394</v>
      </c>
    </row>
    <row r="42">
      <c r="A42" s="46" t="inlineStr">
        <is>
          <t>EVENTO · 04/05/2026 · PIX direto Ari</t>
        </is>
      </c>
      <c r="B42" s="46" t="inlineStr">
        <is>
          <t>Valor recebido: R$ 6,600.00</t>
        </is>
      </c>
      <c r="C42" s="48" t="n"/>
      <c r="D42" s="48" t="n"/>
      <c r="E42" s="48" t="n"/>
      <c r="F42" s="48" t="n"/>
      <c r="G42" s="49" t="n"/>
    </row>
    <row r="43">
      <c r="A43" s="8" t="inlineStr">
        <is>
          <t>Parcela</t>
        </is>
      </c>
      <c r="B43" s="8" t="inlineStr">
        <is>
          <t>Pago em JUROS</t>
        </is>
      </c>
      <c r="C43" s="8" t="inlineStr">
        <is>
          <t>Pago em PRINCIPAL</t>
        </is>
      </c>
      <c r="D43" s="8" t="inlineStr">
        <is>
          <t>Total abatido</t>
        </is>
      </c>
      <c r="E43" s="8" t="inlineStr">
        <is>
          <t>Saldo pós</t>
        </is>
      </c>
    </row>
    <row r="44">
      <c r="A44" s="26" t="inlineStr">
        <is>
          <t>08/2025</t>
        </is>
      </c>
      <c r="B44" s="50" t="n">
        <v>383.9663656700723</v>
      </c>
      <c r="C44" s="51" t="n">
        <v>6216.033634329928</v>
      </c>
      <c r="D44" s="27" t="n">
        <v>6600</v>
      </c>
      <c r="E44" s="27" t="n">
        <v>31299.93897410947</v>
      </c>
    </row>
    <row r="46">
      <c r="A46" s="46" t="inlineStr">
        <is>
          <t>EVENTO · 04/05/2026 · PIX direto Ari</t>
        </is>
      </c>
      <c r="B46" s="46" t="inlineStr">
        <is>
          <t>Valor recebido: R$ 24,300.00</t>
        </is>
      </c>
      <c r="C46" s="48" t="n"/>
      <c r="D46" s="48" t="n"/>
      <c r="E46" s="48" t="n"/>
      <c r="F46" s="48" t="n"/>
      <c r="G46" s="49" t="n"/>
    </row>
    <row r="47">
      <c r="A47" s="8" t="inlineStr">
        <is>
          <t>Parcela</t>
        </is>
      </c>
      <c r="B47" s="8" t="inlineStr">
        <is>
          <t>Pago em JUROS</t>
        </is>
      </c>
      <c r="C47" s="8" t="inlineStr">
        <is>
          <t>Pago em PRINCIPAL</t>
        </is>
      </c>
      <c r="D47" s="8" t="inlineStr">
        <is>
          <t>Total abatido</t>
        </is>
      </c>
      <c r="E47" s="8" t="inlineStr">
        <is>
          <t>Saldo pós</t>
        </is>
      </c>
    </row>
    <row r="48">
      <c r="A48" s="26" t="inlineStr">
        <is>
          <t>08/2025</t>
        </is>
      </c>
      <c r="B48" s="50" t="n">
        <v>0</v>
      </c>
      <c r="C48" s="51" t="n">
        <v>24300</v>
      </c>
      <c r="D48" s="27" t="n">
        <v>24300</v>
      </c>
      <c r="E48" s="27" t="n">
        <v>6999.938974109471</v>
      </c>
    </row>
    <row r="50">
      <c r="A50" s="46" t="inlineStr">
        <is>
          <t>EVENTO · 03/06/2026 · PIX direto Ari</t>
        </is>
      </c>
      <c r="B50" s="46" t="inlineStr">
        <is>
          <t>Valor recebido: R$ 24,300.00</t>
        </is>
      </c>
      <c r="C50" s="48" t="n"/>
      <c r="D50" s="48" t="n"/>
      <c r="E50" s="48" t="n"/>
      <c r="F50" s="48" t="n"/>
      <c r="G50" s="49" t="n"/>
    </row>
    <row r="51">
      <c r="A51" s="8" t="inlineStr">
        <is>
          <t>Parcela</t>
        </is>
      </c>
      <c r="B51" s="8" t="inlineStr">
        <is>
          <t>Pago em JUROS</t>
        </is>
      </c>
      <c r="C51" s="8" t="inlineStr">
        <is>
          <t>Pago em PRINCIPAL</t>
        </is>
      </c>
      <c r="D51" s="8" t="inlineStr">
        <is>
          <t>Total abatido</t>
        </is>
      </c>
      <c r="E51" s="8" t="inlineStr">
        <is>
          <t>Saldo pós</t>
        </is>
      </c>
    </row>
    <row r="52">
      <c r="A52" s="26" t="inlineStr">
        <is>
          <t>08/2025</t>
        </is>
      </c>
      <c r="B52" s="50" t="n">
        <v>65.09943245921841</v>
      </c>
      <c r="C52" s="51" t="n">
        <v>6999.938974109471</v>
      </c>
      <c r="D52" s="27" t="n">
        <v>7065.038406568689</v>
      </c>
      <c r="E52" s="27" t="n">
        <v>0</v>
      </c>
    </row>
    <row r="53">
      <c r="A53" s="26" t="inlineStr">
        <is>
          <t>09/2025</t>
        </is>
      </c>
      <c r="B53" s="50" t="n">
        <v>4453.699170222673</v>
      </c>
      <c r="C53" s="51" t="n">
        <v>12781.26242320864</v>
      </c>
      <c r="D53" s="27" t="n">
        <v>17234.96159343131</v>
      </c>
      <c r="E53" s="27" t="n">
        <v>37508.73757679136</v>
      </c>
    </row>
    <row r="55">
      <c r="A55" s="46" t="inlineStr">
        <is>
          <t>EVENTO · 09/06/2026 · PIX direto Ari</t>
        </is>
      </c>
      <c r="B55" s="46" t="inlineStr">
        <is>
          <t>Valor recebido: R$ 6,600.00</t>
        </is>
      </c>
      <c r="C55" s="48" t="n"/>
      <c r="D55" s="48" t="n"/>
      <c r="E55" s="48" t="n"/>
      <c r="F55" s="48" t="n"/>
      <c r="G55" s="49" t="n"/>
    </row>
    <row r="56">
      <c r="A56" s="8" t="inlineStr">
        <is>
          <t>Parcela</t>
        </is>
      </c>
      <c r="B56" s="8" t="inlineStr">
        <is>
          <t>Pago em JUROS</t>
        </is>
      </c>
      <c r="C56" s="8" t="inlineStr">
        <is>
          <t>Pago em PRINCIPAL</t>
        </is>
      </c>
      <c r="D56" s="8" t="inlineStr">
        <is>
          <t>Total abatido</t>
        </is>
      </c>
      <c r="E56" s="8" t="inlineStr">
        <is>
          <t>Saldo pós</t>
        </is>
      </c>
    </row>
    <row r="57">
      <c r="A57" s="26" t="inlineStr">
        <is>
          <t>09/2025</t>
        </is>
      </c>
      <c r="B57" s="50" t="n">
        <v>69.5081602542341</v>
      </c>
      <c r="C57" s="51" t="n">
        <v>6530.491839745766</v>
      </c>
      <c r="D57" s="27" t="n">
        <v>6600</v>
      </c>
      <c r="E57" s="27" t="n">
        <v>30978.2457370456</v>
      </c>
    </row>
  </sheetData>
  <mergeCells count="13">
    <mergeCell ref="B3:G3"/>
    <mergeCell ref="A1:G1"/>
    <mergeCell ref="B42:G42"/>
    <mergeCell ref="B46:G46"/>
    <mergeCell ref="B22:G22"/>
    <mergeCell ref="B37:G37"/>
    <mergeCell ref="B17:G17"/>
    <mergeCell ref="B27:G27"/>
    <mergeCell ref="B55:G55"/>
    <mergeCell ref="B32:G32"/>
    <mergeCell ref="B50:G50"/>
    <mergeCell ref="B7:G7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3" customWidth="1" min="3" max="3"/>
    <col width="12" customWidth="1" min="4" max="4"/>
    <col width="14" customWidth="1" min="5" max="5"/>
    <col width="16" customWidth="1" min="6" max="6"/>
  </cols>
  <sheetData>
    <row r="1">
      <c r="A1" s="25" t="inlineStr">
        <is>
          <t>Saúde · 16 NFs após 02/02/2026 · Total inicial R$ 25,900.00</t>
        </is>
      </c>
    </row>
    <row r="2">
      <c r="A2" s="3" t="inlineStr">
        <is>
          <t>Sem pagamentos — Ari não ressarciu. Juros SELIC acumulados desde a emissão de cada NF até 30/06/2026.</t>
        </is>
      </c>
    </row>
    <row r="4">
      <c r="A4" s="8" t="inlineStr">
        <is>
          <t>Descrição</t>
        </is>
      </c>
      <c r="B4" s="8" t="inlineStr">
        <is>
          <t>Emissão</t>
        </is>
      </c>
      <c r="C4" s="8" t="inlineStr">
        <is>
          <t>Principal</t>
        </is>
      </c>
      <c r="D4" s="8" t="inlineStr">
        <is>
          <t>Idade (dias)</t>
        </is>
      </c>
      <c r="E4" s="8" t="inlineStr">
        <is>
          <t>Juros acumulado</t>
        </is>
      </c>
      <c r="F4" s="8" t="inlineStr">
        <is>
          <t>Saldo 30/06/2026</t>
        </is>
      </c>
    </row>
    <row r="5">
      <c r="A5" s="52" t="inlineStr">
        <is>
          <t>Caio · Maria Inês Giora · NF 238</t>
        </is>
      </c>
      <c r="B5" s="40" t="inlineStr">
        <is>
          <t>03/02/2026</t>
        </is>
      </c>
      <c r="C5" s="41" t="n">
        <v>1800</v>
      </c>
      <c r="D5" s="40" t="n">
        <v>147</v>
      </c>
      <c r="E5" s="41" t="n">
        <v>83.52697368227155</v>
      </c>
      <c r="F5" s="44" t="n">
        <v>1883.526973682272</v>
      </c>
    </row>
    <row r="6">
      <c r="A6" s="52" t="inlineStr">
        <is>
          <t>Milena · Maria Inês Giora · NF 240</t>
        </is>
      </c>
      <c r="B6" s="40" t="inlineStr">
        <is>
          <t>03/02/2026</t>
        </is>
      </c>
      <c r="C6" s="41" t="n">
        <v>1800</v>
      </c>
      <c r="D6" s="40" t="n">
        <v>147</v>
      </c>
      <c r="E6" s="41" t="n">
        <v>83.52697368227155</v>
      </c>
      <c r="F6" s="44" t="n">
        <v>1883.526973682272</v>
      </c>
    </row>
    <row r="7">
      <c r="A7" s="52" t="inlineStr">
        <is>
          <t>Caio · Maria Inês Giora · NF 262</t>
        </is>
      </c>
      <c r="B7" s="40" t="inlineStr">
        <is>
          <t>03/02/2026</t>
        </is>
      </c>
      <c r="C7" s="41" t="n">
        <v>1800</v>
      </c>
      <c r="D7" s="40" t="n">
        <v>147</v>
      </c>
      <c r="E7" s="41" t="n">
        <v>83.52697368227155</v>
      </c>
      <c r="F7" s="44" t="n">
        <v>1883.526973682272</v>
      </c>
    </row>
    <row r="8">
      <c r="A8" s="52" t="inlineStr">
        <is>
          <t>Milena · Maria Inês Giora · NF 263</t>
        </is>
      </c>
      <c r="B8" s="40" t="inlineStr">
        <is>
          <t>03/02/2026</t>
        </is>
      </c>
      <c r="C8" s="41" t="n">
        <v>1800</v>
      </c>
      <c r="D8" s="40" t="n">
        <v>147</v>
      </c>
      <c r="E8" s="41" t="n">
        <v>83.52697368227155</v>
      </c>
      <c r="F8" s="44" t="n">
        <v>1883.526973682272</v>
      </c>
    </row>
    <row r="9">
      <c r="A9" s="52" t="inlineStr">
        <is>
          <t>Maia · Elaine Misiti · NF 2179</t>
        </is>
      </c>
      <c r="B9" s="40" t="inlineStr">
        <is>
          <t>27/02/2026</t>
        </is>
      </c>
      <c r="C9" s="41" t="n">
        <v>1200</v>
      </c>
      <c r="D9" s="40" t="n">
        <v>123</v>
      </c>
      <c r="E9" s="41" t="n">
        <v>46.41987754201841</v>
      </c>
      <c r="F9" s="44" t="n">
        <v>1246.419877542018</v>
      </c>
    </row>
    <row r="10">
      <c r="A10" s="52" t="inlineStr">
        <is>
          <t>Caio · CIDEP · NF 45289</t>
        </is>
      </c>
      <c r="B10" s="40" t="inlineStr">
        <is>
          <t>16/03/2026</t>
        </is>
      </c>
      <c r="C10" s="41" t="n">
        <v>1700</v>
      </c>
      <c r="D10" s="40" t="n">
        <v>106</v>
      </c>
      <c r="E10" s="41" t="n">
        <v>56.52318618702611</v>
      </c>
      <c r="F10" s="44" t="n">
        <v>1756.523186187026</v>
      </c>
    </row>
    <row r="11">
      <c r="A11" s="52" t="inlineStr">
        <is>
          <t>Maia · CIDEP · NF 45290</t>
        </is>
      </c>
      <c r="B11" s="40" t="inlineStr">
        <is>
          <t>16/03/2026</t>
        </is>
      </c>
      <c r="C11" s="41" t="n">
        <v>1700</v>
      </c>
      <c r="D11" s="40" t="n">
        <v>106</v>
      </c>
      <c r="E11" s="41" t="n">
        <v>56.52318618702611</v>
      </c>
      <c r="F11" s="44" t="n">
        <v>1756.523186187026</v>
      </c>
    </row>
    <row r="12">
      <c r="A12" s="52" t="inlineStr">
        <is>
          <t>Maia · Elaine Misiti · NF 2211</t>
        </is>
      </c>
      <c r="B12" s="40" t="inlineStr">
        <is>
          <t>31/03/2026</t>
        </is>
      </c>
      <c r="C12" s="41" t="n">
        <v>1200</v>
      </c>
      <c r="D12" s="40" t="n">
        <v>91</v>
      </c>
      <c r="E12" s="41" t="n">
        <v>34.1730960323323</v>
      </c>
      <c r="F12" s="44" t="n">
        <v>1234.173096032332</v>
      </c>
    </row>
    <row r="13">
      <c r="A13" s="52" t="inlineStr">
        <is>
          <t>Caio · Maria Inês Giora · NF 286</t>
        </is>
      </c>
      <c r="B13" s="40" t="inlineStr">
        <is>
          <t>02/04/2026</t>
        </is>
      </c>
      <c r="C13" s="41" t="n">
        <v>1800</v>
      </c>
      <c r="D13" s="40" t="n">
        <v>89</v>
      </c>
      <c r="E13" s="41" t="n">
        <v>50.1175198478345</v>
      </c>
      <c r="F13" s="44" t="n">
        <v>1850.117519847835</v>
      </c>
    </row>
    <row r="14">
      <c r="A14" s="52" t="inlineStr">
        <is>
          <t>Milena · Maria Inês Giora · NF 287</t>
        </is>
      </c>
      <c r="B14" s="40" t="inlineStr">
        <is>
          <t>02/04/2026</t>
        </is>
      </c>
      <c r="C14" s="41" t="n">
        <v>1800</v>
      </c>
      <c r="D14" s="40" t="n">
        <v>89</v>
      </c>
      <c r="E14" s="41" t="n">
        <v>50.1175198478345</v>
      </c>
      <c r="F14" s="44" t="n">
        <v>1850.117519847835</v>
      </c>
    </row>
    <row r="15">
      <c r="A15" s="52" t="inlineStr">
        <is>
          <t>Caio · Maria Inês Giora · NF 298</t>
        </is>
      </c>
      <c r="B15" s="40" t="inlineStr">
        <is>
          <t>29/04/2026</t>
        </is>
      </c>
      <c r="C15" s="41" t="n">
        <v>1800</v>
      </c>
      <c r="D15" s="40" t="n">
        <v>62</v>
      </c>
      <c r="E15" s="41" t="n">
        <v>34.76763154652713</v>
      </c>
      <c r="F15" s="44" t="n">
        <v>1834.767631546527</v>
      </c>
    </row>
    <row r="16">
      <c r="A16" s="52" t="inlineStr">
        <is>
          <t>Milena · Maria Inês Giora · NF 294</t>
        </is>
      </c>
      <c r="B16" s="40" t="inlineStr">
        <is>
          <t>29/04/2026</t>
        </is>
      </c>
      <c r="C16" s="41" t="n">
        <v>1800</v>
      </c>
      <c r="D16" s="40" t="n">
        <v>62</v>
      </c>
      <c r="E16" s="41" t="n">
        <v>34.76763154652713</v>
      </c>
      <c r="F16" s="44" t="n">
        <v>1834.767631546527</v>
      </c>
    </row>
    <row r="17">
      <c r="A17" s="52" t="inlineStr">
        <is>
          <t>Maia · Elaine Misiti · NF 2226</t>
        </is>
      </c>
      <c r="B17" s="40" t="inlineStr">
        <is>
          <t>30/04/2026</t>
        </is>
      </c>
      <c r="C17" s="41" t="n">
        <v>900</v>
      </c>
      <c r="D17" s="40" t="n">
        <v>61</v>
      </c>
      <c r="E17" s="41" t="n">
        <v>17.10078472629471</v>
      </c>
      <c r="F17" s="44" t="n">
        <v>917.1007847262947</v>
      </c>
    </row>
    <row r="18">
      <c r="A18" s="52" t="inlineStr">
        <is>
          <t>Caio · Maria Inês Giora · NF 315</t>
        </is>
      </c>
      <c r="B18" s="40" t="inlineStr">
        <is>
          <t>29/05/2026</t>
        </is>
      </c>
      <c r="C18" s="41" t="n">
        <v>1800</v>
      </c>
      <c r="D18" s="40" t="n">
        <v>32</v>
      </c>
      <c r="E18" s="41" t="n">
        <v>17.86151941595858</v>
      </c>
      <c r="F18" s="44" t="n">
        <v>1817.861519415959</v>
      </c>
    </row>
    <row r="19">
      <c r="A19" s="52" t="inlineStr">
        <is>
          <t>Maia · Elaine Misiti · NF 2263</t>
        </is>
      </c>
      <c r="B19" s="40" t="inlineStr">
        <is>
          <t>31/05/2026</t>
        </is>
      </c>
      <c r="C19" s="41" t="n">
        <v>1200</v>
      </c>
      <c r="D19" s="40" t="n">
        <v>30</v>
      </c>
      <c r="E19" s="41" t="n">
        <v>11.16000000000008</v>
      </c>
      <c r="F19" s="44" t="n">
        <v>1211.16</v>
      </c>
    </row>
    <row r="20">
      <c r="A20" s="52" t="inlineStr">
        <is>
          <t>Milena · Maria Inês Giora · NF 323</t>
        </is>
      </c>
      <c r="B20" s="40" t="inlineStr">
        <is>
          <t>02/06/2026</t>
        </is>
      </c>
      <c r="C20" s="41" t="n">
        <v>1800</v>
      </c>
      <c r="D20" s="40" t="n">
        <v>28</v>
      </c>
      <c r="E20" s="41" t="n">
        <v>15.61917249912267</v>
      </c>
      <c r="F20" s="44" t="n">
        <v>1815.619172499123</v>
      </c>
    </row>
    <row r="21">
      <c r="A21" s="46" t="inlineStr">
        <is>
          <t>TOTAL</t>
        </is>
      </c>
      <c r="B21" s="46" t="n"/>
      <c r="C21" s="47" t="n">
        <v>25900</v>
      </c>
      <c r="D21" s="46" t="n"/>
      <c r="E21" s="47" t="n">
        <v>759.2590201075884</v>
      </c>
      <c r="F21" s="47" t="n">
        <v>26659.25902010759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2026-06-24T19:44:46Z</dcterms:created>
  <dcterms:modified xmlns:dcterms="http://purl.org/dc/terms/" xmlns:xsi="http://www.w3.org/2001/XMLSchema-instance" xsi:type="dcterms:W3CDTF">2026-06-24T19:44:46Z</dcterms:modified>
</cp:coreProperties>
</file>