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· Capa e Metodologia" sheetId="1" state="visible" r:id="rId1"/>
    <sheet xmlns:r="http://schemas.openxmlformats.org/officeDocument/2006/relationships" name="02 · Demonstrativo Consolidado" sheetId="2" state="visible" r:id="rId2"/>
    <sheet xmlns:r="http://schemas.openxmlformats.org/officeDocument/2006/relationships" name="03 · Rendimentos" sheetId="3" state="visible" r:id="rId3"/>
    <sheet xmlns:r="http://schemas.openxmlformats.org/officeDocument/2006/relationships" name="04 · Patrimônio" sheetId="4" state="visible" r:id="rId4"/>
    <sheet xmlns:r="http://schemas.openxmlformats.org/officeDocument/2006/relationships" name="05 · Despesas operacionais" sheetId="5" state="visible" r:id="rId5"/>
    <sheet xmlns:r="http://schemas.openxmlformats.org/officeDocument/2006/relationships" name="06 · Despesas jurídicas" sheetId="6" state="visible" r:id="rId6"/>
    <sheet xmlns:r="http://schemas.openxmlformats.org/officeDocument/2006/relationships" name="07 · Saúde e violência" sheetId="7" state="visible" r:id="rId7"/>
    <sheet xmlns:r="http://schemas.openxmlformats.org/officeDocument/2006/relationships" name="08 · Indicadores forenses" sheetId="8" state="visible" r:id="rId8"/>
    <sheet xmlns:r="http://schemas.openxmlformats.org/officeDocument/2006/relationships" name="09 · Cadeia de custód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;&quot;–&quot;"/>
    <numFmt numFmtId="165" formatCode="0.0%;[Red]-0.0%;&quot;–&quot;"/>
  </numFmts>
  <fonts count="15">
    <font>
      <name val="Calibri"/>
      <family val="2"/>
      <color theme="1"/>
      <sz val="11"/>
      <scheme val="minor"/>
    </font>
    <font>
      <name val="Calibri"/>
      <b val="1"/>
      <color rgb="001B3A5B"/>
      <sz val="18"/>
    </font>
    <font>
      <name val="Calibri"/>
      <i val="1"/>
      <color rgb="00555555"/>
      <sz val="12"/>
    </font>
    <font>
      <name val="Calibri"/>
      <b val="1"/>
      <color rgb="0015212E"/>
      <sz val="10"/>
    </font>
    <font>
      <name val="Calibri"/>
      <color rgb="0015212E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15212E"/>
      <sz val="9"/>
    </font>
    <font>
      <name val="Calibri"/>
      <color rgb="00B00020"/>
      <sz val="10"/>
    </font>
    <font>
      <name val="Calibri"/>
      <sz val="10"/>
    </font>
    <font>
      <name val="Calibri"/>
      <i val="1"/>
      <color rgb="0015212E"/>
      <sz val="9"/>
    </font>
    <font>
      <name val="Calibri"/>
      <b val="1"/>
      <color rgb="0015212E"/>
      <sz val="9"/>
    </font>
    <font>
      <name val="Calibri"/>
      <b val="1"/>
      <color rgb="00B00020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F5F8FC"/>
      </patternFill>
    </fill>
    <fill>
      <patternFill patternType="solid">
        <fgColor rgb="001B3A5B"/>
      </patternFill>
    </fill>
    <fill>
      <patternFill patternType="solid">
        <fgColor rgb="00FFF8E1"/>
      </patternFill>
    </fill>
    <fill>
      <patternFill patternType="solid">
        <fgColor rgb="00EEF6F0"/>
      </patternFill>
    </fill>
    <fill>
      <patternFill patternType="solid">
        <fgColor rgb="00FDECEF"/>
      </patternFill>
    </fill>
    <fill>
      <patternFill patternType="solid">
        <fgColor rgb="00B00020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right" vertical="center"/>
    </xf>
    <xf numFmtId="165" fontId="1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right" vertical="center"/>
    </xf>
    <xf numFmtId="165" fontId="14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/>
    </xf>
    <xf numFmtId="0" fontId="1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0" customWidth="1" min="3" max="3"/>
  </cols>
  <sheetData>
    <row r="2">
      <c r="B2" s="1" t="inlineStr">
        <is>
          <t>55 · PLANILHA CONTÁBIL-FORENSE COMPARATIVA</t>
        </is>
      </c>
    </row>
    <row r="3">
      <c r="B3" s="2" t="inlineStr">
        <is>
          <t>Documentos financeiros da denunciante · 2023 × 2026</t>
        </is>
      </c>
    </row>
    <row r="5">
      <c r="B5" s="3" t="inlineStr">
        <is>
          <t>Processo</t>
        </is>
      </c>
      <c r="C5" s="4" t="inlineStr">
        <is>
          <t>1006744-58.2023.8.26.0011 — 1ª VFS Pinheiros/SP</t>
        </is>
      </c>
    </row>
    <row r="6">
      <c r="B6" s="3" t="inlineStr">
        <is>
          <t>Constituinte</t>
        </is>
      </c>
      <c r="C6" s="4" t="inlineStr">
        <is>
          <t>Millena Onesti Gorenstein — CPF 006.064.549-00 — mulher PCD em substituição de patrocínio (CPC art. 112)</t>
        </is>
      </c>
    </row>
    <row r="7">
      <c r="B7" s="3" t="inlineStr">
        <is>
          <t>Patronos</t>
        </is>
      </c>
      <c r="C7" s="4" t="inlineStr">
        <is>
          <t>Dra. Michele P. Hilgenberg (OAB/SC 41.607) · Dr. Luiz Carlos Guieseler Junior (OAB/PR 44.937)</t>
        </is>
      </c>
    </row>
    <row r="8">
      <c r="B8" s="3" t="inlineStr">
        <is>
          <t>Acervo de referência</t>
        </is>
      </c>
      <c r="C8" s="4" t="inlineStr">
        <is>
          <t>Documentos técnicos 00–54 do repositório PhD</t>
        </is>
      </c>
    </row>
    <row r="9">
      <c r="B9" s="3" t="inlineStr">
        <is>
          <t>Documento</t>
        </is>
      </c>
      <c r="C9" s="4" t="inlineStr">
        <is>
          <t>Doc 55 — planilha contábil-forense comparativa em formato XLSX</t>
        </is>
      </c>
    </row>
    <row r="11">
      <c r="B11" s="5" t="inlineStr">
        <is>
          <t>METODOLOGIA FORENSE</t>
        </is>
      </c>
    </row>
    <row r="13" ht="42" customHeight="1">
      <c r="B13" s="3" t="inlineStr">
        <is>
          <t>1. Período-base</t>
        </is>
      </c>
      <c r="C13" s="4" t="inlineStr">
        <is>
          <t>Comparativo entre dois momentos distintos do litígio: posição inicial (2023, ajuizamento do divórcio em 10/01/2023) e posição corrente (2026, com 1.080+ dias de litígio acumulado).</t>
        </is>
      </c>
    </row>
    <row r="14" ht="42" customHeight="1">
      <c r="B14" s="3" t="inlineStr">
        <is>
          <t>2. Marcação</t>
        </is>
      </c>
      <c r="C14" s="4" t="inlineStr">
        <is>
          <t>Células com dados consolidados em peças do acervo: preenchidas com valor e referência. Células dependentes de juntada documental: marcadas '[a juntar]'. Variação atípica: amarelo (suspeita) ou vermelho (anomalia confirmada).</t>
        </is>
      </c>
    </row>
    <row r="15" ht="42" customHeight="1">
      <c r="B15" s="3" t="inlineStr">
        <is>
          <t>3. Fontes admitidas</t>
        </is>
      </c>
      <c r="C15" s="4" t="inlineStr">
        <is>
          <t>Extratos bancários · faturas de cartão · DIRPFs · atestados médicos · contratos de honorários · recibos de pensão · comprovantes de despesas educacionais e de saúde · NFs de perícias e pareceres · planilha matricial das 16 ações judiciais.</t>
        </is>
      </c>
    </row>
    <row r="16" ht="42" customHeight="1">
      <c r="B16" s="3" t="inlineStr">
        <is>
          <t>4. Tratamento de divergências</t>
        </is>
      </c>
      <c r="C16" s="4" t="inlineStr">
        <is>
          <t>Variações classificadas em (a) inflação/correção; (b) evento documentado; (c) anômala — possível erosão patrimonial induzida ou despesa anormal de litígio (vetor de violência patrimonial estruturada — LMP art. 7º, IV).</t>
        </is>
      </c>
    </row>
    <row r="17" ht="42" customHeight="1">
      <c r="B17" s="3" t="inlineStr">
        <is>
          <t>5. Indicadores derivados</t>
        </is>
      </c>
      <c r="C17" s="4" t="inlineStr">
        <is>
          <t>Custo total da litigância · ratio de erosão patrimonial · custo da violência patrimonial · proporção da pensão frente ao custo real dos menores · cobertura de saúde mantida × interrompida.</t>
        </is>
      </c>
    </row>
    <row r="18" ht="42" customHeight="1">
      <c r="B18" s="3" t="inlineStr">
        <is>
          <t>6. Standard probatório</t>
        </is>
      </c>
      <c r="C18" s="4" t="inlineStr">
        <is>
          <t>Aplica-se o standard ajustado à assimetria de informação (Res. CNJ 492/2023 Cap. III), com inversão dinâmica do ônus quanto a fatos cuja prova esteja em poder do requerido e da cadeia institucional (CPC art. 373, §1º).</t>
        </is>
      </c>
    </row>
    <row r="19" ht="42" customHeight="1">
      <c r="B19" s="3" t="inlineStr">
        <is>
          <t>7. Reserva técnica</t>
        </is>
      </c>
      <c r="C19" s="4" t="inlineStr">
        <is>
          <t>Instrumento de apoio à decisão (CPC art. 472). Não substitui laudo subscrito por contador habilitado (CRC) ou parecer forense pericial. Tipificações em tese (CF art. 5º, LVII).</t>
        </is>
      </c>
    </row>
    <row r="21">
      <c r="B21" s="5" t="inlineStr">
        <is>
          <t>ESTRUTURA DA PLANILHA</t>
        </is>
      </c>
    </row>
    <row r="23" ht="24" customHeight="1">
      <c r="B23" s="6" t="inlineStr">
        <is>
          <t>Aba 02 · Demonstrativo Consolidado</t>
        </is>
      </c>
      <c r="C23" s="4" t="inlineStr">
        <is>
          <t>Visão executiva 2023 × 2026 com Δ absoluta e percentual em 9 grupos</t>
        </is>
      </c>
    </row>
    <row r="24" ht="24" customHeight="1">
      <c r="B24" s="6" t="inlineStr">
        <is>
          <t>Aba 03 · Rendimentos</t>
        </is>
      </c>
      <c r="C24" s="4" t="inlineStr">
        <is>
          <t>Salários, pensão, financeiros, outros — mensal e anual</t>
        </is>
      </c>
    </row>
    <row r="25" ht="24" customHeight="1">
      <c r="B25" s="6" t="inlineStr">
        <is>
          <t>Aba 04 · Patrimônio</t>
        </is>
      </c>
      <c r="C25" s="4" t="inlineStr">
        <is>
          <t>Ativos × passivos, com PL calculado</t>
        </is>
      </c>
    </row>
    <row r="26" ht="24" customHeight="1">
      <c r="B26" s="6" t="inlineStr">
        <is>
          <t>Aba 05 · Despesas operacionais</t>
        </is>
      </c>
      <c r="C26" s="4" t="inlineStr">
        <is>
          <t>Moradia, filhos, alimentação, transporte, lazer</t>
        </is>
      </c>
    </row>
    <row r="27" ht="24" customHeight="1">
      <c r="B27" s="6" t="inlineStr">
        <is>
          <t>Aba 06 · Despesas jurídicas</t>
        </is>
      </c>
      <c r="C27" s="4" t="inlineStr">
        <is>
          <t>Honorários, perícias, pareceres, custas — acumulado 2023-2026</t>
        </is>
      </c>
    </row>
    <row r="28" ht="24" customHeight="1">
      <c r="B28" s="6" t="inlineStr">
        <is>
          <t>Aba 07 · Saúde e violência</t>
        </is>
      </c>
      <c r="C28" s="4" t="inlineStr">
        <is>
          <t>Psiquiatria, medicação, psicossocial — sob LMP art. 7º, IV</t>
        </is>
      </c>
    </row>
    <row r="29" ht="24" customHeight="1">
      <c r="B29" s="6" t="inlineStr">
        <is>
          <t>Aba 08 · Indicadores forenses</t>
        </is>
      </c>
      <c r="C29" s="4" t="inlineStr">
        <is>
          <t>10 indicadores-síntese para subsidiar peças subsequentes</t>
        </is>
      </c>
    </row>
    <row r="30" ht="24" customHeight="1">
      <c r="B30" s="6" t="inlineStr">
        <is>
          <t>Aba 09 · Cadeia de custódia documental</t>
        </is>
      </c>
      <c r="C30" s="4" t="inlineStr">
        <is>
          <t>20 itens com referência cruzada a cada aba</t>
        </is>
      </c>
    </row>
  </sheetData>
  <mergeCells count="4">
    <mergeCell ref="B11:C11"/>
    <mergeCell ref="B3:C3"/>
    <mergeCell ref="B21:C2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14" customWidth="1" min="4" max="4"/>
    <col width="14" customWidth="1" min="5" max="5"/>
    <col width="9" customWidth="1" min="6" max="6"/>
    <col width="16" customWidth="1" min="7" max="7"/>
    <col width="24" customWidth="1" min="8" max="8"/>
  </cols>
  <sheetData>
    <row r="1" ht="22" customHeight="1">
      <c r="A1" s="7" t="inlineStr">
        <is>
          <t>DEMONSTRATIVO COMPARATIVO CONSOLIDADO — 2023 × 2026</t>
        </is>
      </c>
    </row>
    <row r="3" ht="30" customHeight="1">
      <c r="A3" s="8" t="inlineStr">
        <is>
          <t>Grupo</t>
        </is>
      </c>
      <c r="B3" s="8" t="inlineStr">
        <is>
          <t>Categoria</t>
        </is>
      </c>
      <c r="C3" s="8" t="inlineStr">
        <is>
          <t>2023 (R$)</t>
        </is>
      </c>
      <c r="D3" s="8" t="inlineStr">
        <is>
          <t>2026 (R$)</t>
        </is>
      </c>
      <c r="E3" s="8" t="inlineStr">
        <is>
          <t>Δ Absoluta</t>
        </is>
      </c>
      <c r="F3" s="8" t="inlineStr">
        <is>
          <t>Δ %</t>
        </is>
      </c>
      <c r="G3" s="8" t="inlineStr">
        <is>
          <t>Status</t>
        </is>
      </c>
      <c r="H3" s="8" t="inlineStr">
        <is>
          <t>Referência</t>
        </is>
      </c>
    </row>
    <row r="4">
      <c r="A4" s="9" t="inlineStr">
        <is>
          <t>A · RENDIMENTOS</t>
        </is>
      </c>
      <c r="B4" s="4" t="inlineStr">
        <is>
          <t>Salários / receita pessoal</t>
        </is>
      </c>
      <c r="C4" s="10" t="n"/>
      <c r="D4" s="10" t="n"/>
      <c r="E4" s="11">
        <f>D4-C4</f>
        <v/>
      </c>
      <c r="F4" s="12">
        <f>IFERROR((D4-C4)/C4,"")</f>
        <v/>
      </c>
      <c r="G4" s="13" t="inlineStr">
        <is>
          <t>a juntar</t>
        </is>
      </c>
      <c r="H4" s="13" t="inlineStr">
        <is>
          <t>DIRPF · holerites</t>
        </is>
      </c>
    </row>
    <row r="5">
      <c r="A5" s="9" t="inlineStr">
        <is>
          <t>A · RENDIMENTOS</t>
        </is>
      </c>
      <c r="B5" s="4" t="inlineStr">
        <is>
          <t>Pensão alimentícia efetivamente recebida</t>
        </is>
      </c>
      <c r="C5" s="10" t="n"/>
      <c r="D5" s="10" t="n"/>
      <c r="E5" s="11">
        <f>D5-C5</f>
        <v/>
      </c>
      <c r="F5" s="12">
        <f>IFERROR((D5-C5)/C5,"")</f>
        <v/>
      </c>
      <c r="G5" s="13" t="inlineStr">
        <is>
          <t>a juntar</t>
        </is>
      </c>
      <c r="H5" s="13" t="inlineStr">
        <is>
          <t>comprovantes mensais</t>
        </is>
      </c>
    </row>
    <row r="6">
      <c r="A6" s="9" t="inlineStr">
        <is>
          <t>A · RENDIMENTOS</t>
        </is>
      </c>
      <c r="B6" s="4" t="inlineStr">
        <is>
          <t>Rendimentos de aplicações financeiras</t>
        </is>
      </c>
      <c r="C6" s="10" t="n"/>
      <c r="D6" s="10" t="n"/>
      <c r="E6" s="11">
        <f>D6-C6</f>
        <v/>
      </c>
      <c r="F6" s="12">
        <f>IFERROR((D6-C6)/C6,"")</f>
        <v/>
      </c>
      <c r="G6" s="13" t="inlineStr">
        <is>
          <t>a juntar</t>
        </is>
      </c>
      <c r="H6" s="13" t="inlineStr">
        <is>
          <t>extratos · informes IR</t>
        </is>
      </c>
    </row>
    <row r="7">
      <c r="A7" s="9" t="inlineStr">
        <is>
          <t>A · RENDIMENTOS</t>
        </is>
      </c>
      <c r="B7" s="4" t="inlineStr">
        <is>
          <t>Outros (locação, prestação serviços, eventuais)</t>
        </is>
      </c>
      <c r="C7" s="10" t="n"/>
      <c r="D7" s="10" t="n"/>
      <c r="E7" s="11">
        <f>D7-C7</f>
        <v/>
      </c>
      <c r="F7" s="12">
        <f>IFERROR((D7-C7)/C7,"")</f>
        <v/>
      </c>
      <c r="G7" s="13" t="inlineStr">
        <is>
          <t>a juntar</t>
        </is>
      </c>
      <c r="H7" s="13" t="inlineStr">
        <is>
          <t>—</t>
        </is>
      </c>
    </row>
    <row r="8">
      <c r="A8" s="14" t="inlineStr">
        <is>
          <t>A · TOTAL</t>
        </is>
      </c>
      <c r="B8" s="6" t="inlineStr">
        <is>
          <t>Subtotal Rendimentos</t>
        </is>
      </c>
      <c r="C8" s="15">
        <f>SUM(C4:C7)</f>
        <v/>
      </c>
      <c r="D8" s="15">
        <f>SUM(D4:D7)</f>
        <v/>
      </c>
      <c r="E8" s="16">
        <f>D8-C8</f>
        <v/>
      </c>
      <c r="F8" s="17">
        <f>IFERROR((D8-C8)/C8,"")</f>
        <v/>
      </c>
      <c r="G8" s="18" t="inlineStr"/>
      <c r="H8" s="18" t="inlineStr"/>
    </row>
    <row r="9">
      <c r="A9" s="9" t="inlineStr">
        <is>
          <t>B · PATRIMÔNIO ATIVO</t>
        </is>
      </c>
      <c r="B9" s="4" t="inlineStr">
        <is>
          <t>Conta corrente — saldo médio</t>
        </is>
      </c>
      <c r="C9" s="10" t="n"/>
      <c r="D9" s="10" t="n"/>
      <c r="E9" s="11">
        <f>D9-C9</f>
        <v/>
      </c>
      <c r="F9" s="12">
        <f>IFERROR((D9-C9)/C9,"")</f>
        <v/>
      </c>
      <c r="G9" s="13" t="inlineStr">
        <is>
          <t>a juntar</t>
        </is>
      </c>
      <c r="H9" s="13" t="inlineStr">
        <is>
          <t>extratos bancários</t>
        </is>
      </c>
    </row>
    <row r="10">
      <c r="A10" s="9" t="inlineStr">
        <is>
          <t>B · PATRIMÔNIO ATIVO</t>
        </is>
      </c>
      <c r="B10" s="4" t="inlineStr">
        <is>
          <t>Aplicações financeiras / poupança</t>
        </is>
      </c>
      <c r="C10" s="10" t="n"/>
      <c r="D10" s="10" t="n"/>
      <c r="E10" s="11">
        <f>D10-C10</f>
        <v/>
      </c>
      <c r="F10" s="12">
        <f>IFERROR((D10-C10)/C10,"")</f>
        <v/>
      </c>
      <c r="G10" s="13" t="inlineStr">
        <is>
          <t>a juntar</t>
        </is>
      </c>
      <c r="H10" s="13" t="inlineStr">
        <is>
          <t>extratos / informe IR</t>
        </is>
      </c>
    </row>
    <row r="11">
      <c r="A11" s="9" t="inlineStr">
        <is>
          <t>B · PATRIMÔNIO ATIVO</t>
        </is>
      </c>
      <c r="B11" s="4" t="inlineStr">
        <is>
          <t>Imóveis (registro)</t>
        </is>
      </c>
      <c r="C11" s="10" t="n"/>
      <c r="D11" s="10" t="n"/>
      <c r="E11" s="11">
        <f>D11-C11</f>
        <v/>
      </c>
      <c r="F11" s="12">
        <f>IFERROR((D11-C11)/C11,"")</f>
        <v/>
      </c>
      <c r="G11" s="13" t="inlineStr">
        <is>
          <t>a juntar</t>
        </is>
      </c>
      <c r="H11" s="13" t="inlineStr">
        <is>
          <t>matrículas · avaliação</t>
        </is>
      </c>
    </row>
    <row r="12">
      <c r="A12" s="9" t="inlineStr">
        <is>
          <t>B · PATRIMÔNIO ATIVO</t>
        </is>
      </c>
      <c r="B12" s="4" t="inlineStr">
        <is>
          <t>Veículos</t>
        </is>
      </c>
      <c r="C12" s="10" t="n"/>
      <c r="D12" s="10" t="n"/>
      <c r="E12" s="11">
        <f>D12-C12</f>
        <v/>
      </c>
      <c r="F12" s="12">
        <f>IFERROR((D12-C12)/C12,"")</f>
        <v/>
      </c>
      <c r="G12" s="13" t="inlineStr">
        <is>
          <t>a juntar</t>
        </is>
      </c>
      <c r="H12" s="13" t="inlineStr">
        <is>
          <t>CRLV · avaliação</t>
        </is>
      </c>
    </row>
    <row r="13">
      <c r="A13" s="9" t="inlineStr">
        <is>
          <t>B · PATRIMÔNIO ATIVO</t>
        </is>
      </c>
      <c r="B13" s="4" t="inlineStr">
        <is>
          <t>Outros bens declarados</t>
        </is>
      </c>
      <c r="C13" s="10" t="n"/>
      <c r="D13" s="10" t="n"/>
      <c r="E13" s="11">
        <f>D13-C13</f>
        <v/>
      </c>
      <c r="F13" s="12">
        <f>IFERROR((D13-C13)/C13,"")</f>
        <v/>
      </c>
      <c r="G13" s="13" t="inlineStr">
        <is>
          <t>a juntar</t>
        </is>
      </c>
      <c r="H13" s="13" t="inlineStr">
        <is>
          <t>DIRPF</t>
        </is>
      </c>
    </row>
    <row r="14">
      <c r="A14" s="14" t="inlineStr">
        <is>
          <t>B · TOTAL</t>
        </is>
      </c>
      <c r="B14" s="6" t="inlineStr">
        <is>
          <t>Subtotal Ativo</t>
        </is>
      </c>
      <c r="C14" s="15">
        <f>SUM(C9:C13)</f>
        <v/>
      </c>
      <c r="D14" s="15">
        <f>SUM(D9:D13)</f>
        <v/>
      </c>
      <c r="E14" s="16">
        <f>D14-C14</f>
        <v/>
      </c>
      <c r="F14" s="17">
        <f>IFERROR((D14-C14)/C14,"")</f>
        <v/>
      </c>
      <c r="G14" s="18" t="inlineStr"/>
      <c r="H14" s="18" t="inlineStr"/>
    </row>
    <row r="15">
      <c r="A15" s="9" t="inlineStr">
        <is>
          <t>C · DESPESAS — MORADIA</t>
        </is>
      </c>
      <c r="B15" s="4" t="inlineStr">
        <is>
          <t>Aluguel / financiamento</t>
        </is>
      </c>
      <c r="C15" s="10" t="n"/>
      <c r="D15" s="10" t="n"/>
      <c r="E15" s="11">
        <f>D15-C15</f>
        <v/>
      </c>
      <c r="F15" s="12">
        <f>IFERROR((D15-C15)/C15,"")</f>
        <v/>
      </c>
      <c r="G15" s="13" t="inlineStr">
        <is>
          <t>a juntar</t>
        </is>
      </c>
      <c r="H15" s="13" t="inlineStr">
        <is>
          <t>contrato · boletos</t>
        </is>
      </c>
    </row>
    <row r="16">
      <c r="A16" s="9" t="inlineStr">
        <is>
          <t>C · DESPESAS — MORADIA</t>
        </is>
      </c>
      <c r="B16" s="4" t="inlineStr">
        <is>
          <t>Condomínio + IPTU + utilidades</t>
        </is>
      </c>
      <c r="C16" s="10" t="n"/>
      <c r="D16" s="10" t="n"/>
      <c r="E16" s="11">
        <f>D16-C16</f>
        <v/>
      </c>
      <c r="F16" s="12">
        <f>IFERROR((D16-C16)/C16,"")</f>
        <v/>
      </c>
      <c r="G16" s="13" t="inlineStr">
        <is>
          <t>a juntar</t>
        </is>
      </c>
      <c r="H16" s="13" t="inlineStr">
        <is>
          <t>boletos</t>
        </is>
      </c>
    </row>
    <row r="17">
      <c r="A17" s="9" t="inlineStr">
        <is>
          <t>C · DESPESAS — MORADIA</t>
        </is>
      </c>
      <c r="B17" s="4" t="inlineStr">
        <is>
          <t>Reformas / manutenção</t>
        </is>
      </c>
      <c r="C17" s="10" t="n"/>
      <c r="D17" s="10" t="n"/>
      <c r="E17" s="11">
        <f>D17-C17</f>
        <v/>
      </c>
      <c r="F17" s="12">
        <f>IFERROR((D17-C17)/C17,"")</f>
        <v/>
      </c>
      <c r="G17" s="13" t="inlineStr">
        <is>
          <t>a juntar</t>
        </is>
      </c>
      <c r="H17" s="13" t="inlineStr">
        <is>
          <t>—</t>
        </is>
      </c>
    </row>
    <row r="18">
      <c r="A18" s="14" t="inlineStr">
        <is>
          <t>C · TOTAL</t>
        </is>
      </c>
      <c r="B18" s="6" t="inlineStr">
        <is>
          <t>Subtotal Moradia</t>
        </is>
      </c>
      <c r="C18" s="15">
        <f>SUM(C15:C17)</f>
        <v/>
      </c>
      <c r="D18" s="15">
        <f>SUM(D15:D17)</f>
        <v/>
      </c>
      <c r="E18" s="16">
        <f>D18-C18</f>
        <v/>
      </c>
      <c r="F18" s="17">
        <f>IFERROR((D18-C18)/C18,"")</f>
        <v/>
      </c>
      <c r="G18" s="18" t="inlineStr"/>
      <c r="H18" s="18" t="inlineStr"/>
    </row>
    <row r="19">
      <c r="A19" s="9" t="inlineStr">
        <is>
          <t>D · DESPESAS — FILHOS</t>
        </is>
      </c>
      <c r="B19" s="4" t="inlineStr">
        <is>
          <t>Educação (mensalidade + material)</t>
        </is>
      </c>
      <c r="C19" s="10" t="n"/>
      <c r="D19" s="10" t="n"/>
      <c r="E19" s="11">
        <f>D19-C19</f>
        <v/>
      </c>
      <c r="F19" s="12">
        <f>IFERROR((D19-C19)/C19,"")</f>
        <v/>
      </c>
      <c r="G19" s="13" t="inlineStr">
        <is>
          <t>a juntar</t>
        </is>
      </c>
      <c r="H19" s="13" t="inlineStr">
        <is>
          <t>boletos escolares</t>
        </is>
      </c>
    </row>
    <row r="20">
      <c r="A20" s="9" t="inlineStr">
        <is>
          <t>D · DESPESAS — FILHOS</t>
        </is>
      </c>
      <c r="B20" s="4" t="inlineStr">
        <is>
          <t>Atividades extracurriculares</t>
        </is>
      </c>
      <c r="C20" s="10" t="n"/>
      <c r="D20" s="10" t="n"/>
      <c r="E20" s="11">
        <f>D20-C20</f>
        <v/>
      </c>
      <c r="F20" s="12">
        <f>IFERROR((D20-C20)/C20,"")</f>
        <v/>
      </c>
      <c r="G20" s="13" t="inlineStr">
        <is>
          <t>a juntar</t>
        </is>
      </c>
      <c r="H20" s="13" t="inlineStr">
        <is>
          <t>—</t>
        </is>
      </c>
    </row>
    <row r="21">
      <c r="A21" s="9" t="inlineStr">
        <is>
          <t>D · DESPESAS — FILHOS</t>
        </is>
      </c>
      <c r="B21" s="4" t="inlineStr">
        <is>
          <t>Plano de saúde dos filhos</t>
        </is>
      </c>
      <c r="C21" s="10" t="n"/>
      <c r="D21" s="10" t="n"/>
      <c r="E21" s="11">
        <f>D21-C21</f>
        <v/>
      </c>
      <c r="F21" s="12">
        <f>IFERROR((D21-C21)/C21,"")</f>
        <v/>
      </c>
      <c r="G21" s="13" t="inlineStr">
        <is>
          <t>[restabelecido]</t>
        </is>
      </c>
      <c r="H21" s="13" t="inlineStr">
        <is>
          <t>Proc. 1001019-83.2026</t>
        </is>
      </c>
    </row>
    <row r="22">
      <c r="A22" s="9" t="inlineStr">
        <is>
          <t>D · DESPESAS — FILHOS</t>
        </is>
      </c>
      <c r="B22" s="4" t="inlineStr">
        <is>
          <t>Despesas médicas e psicológicas dos filhos</t>
        </is>
      </c>
      <c r="C22" s="10" t="n"/>
      <c r="D22" s="10" t="n"/>
      <c r="E22" s="11">
        <f>D22-C22</f>
        <v/>
      </c>
      <c r="F22" s="12">
        <f>IFERROR((D22-C22)/C22,"")</f>
        <v/>
      </c>
      <c r="G22" s="13" t="inlineStr">
        <is>
          <t>a juntar</t>
        </is>
      </c>
      <c r="H22" s="13" t="inlineStr">
        <is>
          <t>recibos · NFs</t>
        </is>
      </c>
    </row>
    <row r="23">
      <c r="A23" s="9" t="inlineStr">
        <is>
          <t>D · DESPESAS — FILHOS</t>
        </is>
      </c>
      <c r="B23" s="4" t="inlineStr">
        <is>
          <t>Acompanhamento psicossocial — abuso suspeito</t>
        </is>
      </c>
      <c r="C23" s="10" t="n"/>
      <c r="D23" s="10" t="n"/>
      <c r="E23" s="11">
        <f>D23-C23</f>
        <v/>
      </c>
      <c r="F23" s="12">
        <f>IFERROR((D23-C23)/C23,"")</f>
        <v/>
      </c>
      <c r="G23" s="13" t="inlineStr">
        <is>
          <t>a juntar</t>
        </is>
      </c>
      <c r="H23" s="13" t="inlineStr">
        <is>
          <t>Proc. Guarda + IP</t>
        </is>
      </c>
    </row>
    <row r="24">
      <c r="A24" s="14" t="inlineStr">
        <is>
          <t>D · TOTAL</t>
        </is>
      </c>
      <c r="B24" s="6" t="inlineStr">
        <is>
          <t>Subtotal Filhos</t>
        </is>
      </c>
      <c r="C24" s="15">
        <f>SUM(C19:C23)</f>
        <v/>
      </c>
      <c r="D24" s="15">
        <f>SUM(D19:D23)</f>
        <v/>
      </c>
      <c r="E24" s="16">
        <f>D24-C24</f>
        <v/>
      </c>
      <c r="F24" s="17">
        <f>IFERROR((D24-C24)/C24,"")</f>
        <v/>
      </c>
      <c r="G24" s="18" t="inlineStr"/>
      <c r="H24" s="18" t="inlineStr"/>
    </row>
    <row r="25">
      <c r="A25" s="9" t="inlineStr">
        <is>
          <t>E · DESPESAS — SAÚDE PESSOAL</t>
        </is>
      </c>
      <c r="B25" s="4" t="inlineStr">
        <is>
          <t>Plano de saúde próprio</t>
        </is>
      </c>
      <c r="C25" s="10" t="n"/>
      <c r="D25" s="10" t="n"/>
      <c r="E25" s="11">
        <f>D25-C25</f>
        <v/>
      </c>
      <c r="F25" s="12">
        <f>IFERROR((D25-C25)/C25,"")</f>
        <v/>
      </c>
      <c r="G25" s="13" t="inlineStr">
        <is>
          <t>[restabelecido]</t>
        </is>
      </c>
      <c r="H25" s="13" t="inlineStr">
        <is>
          <t>Proc. 1001019-83.2026</t>
        </is>
      </c>
    </row>
    <row r="26">
      <c r="A26" s="9" t="inlineStr">
        <is>
          <t>E · DESPESAS — SAÚDE PESSOAL</t>
        </is>
      </c>
      <c r="B26" s="4" t="inlineStr">
        <is>
          <t>Psiquiatria — Dr. Ivan Rodrigues (CRM-SP 162488)</t>
        </is>
      </c>
      <c r="C26" s="10" t="n"/>
      <c r="D26" s="10" t="n"/>
      <c r="E26" s="11">
        <f>D26-C26</f>
        <v/>
      </c>
      <c r="F26" s="12">
        <f>IFERROR((D26-C26)/C26,"")</f>
        <v/>
      </c>
      <c r="G26" s="13" t="inlineStr">
        <is>
          <t>documentado</t>
        </is>
      </c>
      <c r="H26" s="13" t="inlineStr">
        <is>
          <t>atestado 05/05/2026</t>
        </is>
      </c>
    </row>
    <row r="27">
      <c r="A27" s="9" t="inlineStr">
        <is>
          <t>E · DESPESAS — SAÚDE PESSOAL</t>
        </is>
      </c>
      <c r="B27" s="4" t="inlineStr">
        <is>
          <t>Medicação (CID-10 F33 + F90)</t>
        </is>
      </c>
      <c r="C27" s="10" t="n"/>
      <c r="D27" s="10" t="n"/>
      <c r="E27" s="11">
        <f>D27-C27</f>
        <v/>
      </c>
      <c r="F27" s="12">
        <f>IFERROR((D27-C27)/C27,"")</f>
        <v/>
      </c>
      <c r="G27" s="13" t="inlineStr">
        <is>
          <t>documentado</t>
        </is>
      </c>
      <c r="H27" s="13" t="inlineStr">
        <is>
          <t>receituários</t>
        </is>
      </c>
    </row>
    <row r="28">
      <c r="A28" s="9" t="inlineStr">
        <is>
          <t>E · DESPESAS — SAÚDE PESSOAL</t>
        </is>
      </c>
      <c r="B28" s="4" t="inlineStr">
        <is>
          <t>Demais terapias e exames</t>
        </is>
      </c>
      <c r="C28" s="10" t="n"/>
      <c r="D28" s="10" t="n"/>
      <c r="E28" s="11">
        <f>D28-C28</f>
        <v/>
      </c>
      <c r="F28" s="12">
        <f>IFERROR((D28-C28)/C28,"")</f>
        <v/>
      </c>
      <c r="G28" s="13" t="inlineStr">
        <is>
          <t>a juntar</t>
        </is>
      </c>
      <c r="H28" s="13" t="inlineStr">
        <is>
          <t>recibos · NFs</t>
        </is>
      </c>
    </row>
    <row r="29">
      <c r="A29" s="14" t="inlineStr">
        <is>
          <t>E · TOTAL</t>
        </is>
      </c>
      <c r="B29" s="6" t="inlineStr">
        <is>
          <t>Subtotal Saúde Pessoal</t>
        </is>
      </c>
      <c r="C29" s="15">
        <f>SUM(C25:C28)</f>
        <v/>
      </c>
      <c r="D29" s="15">
        <f>SUM(D25:D28)</f>
        <v/>
      </c>
      <c r="E29" s="16">
        <f>D29-C29</f>
        <v/>
      </c>
      <c r="F29" s="17">
        <f>IFERROR((D29-C29)/C29,"")</f>
        <v/>
      </c>
      <c r="G29" s="18" t="inlineStr"/>
      <c r="H29" s="18" t="inlineStr"/>
    </row>
    <row r="30">
      <c r="A30" s="9" t="inlineStr">
        <is>
          <t>F · DESPESAS — JURÍDICAS</t>
        </is>
      </c>
      <c r="B30" s="4" t="inlineStr">
        <is>
          <t>Honorários patrona anterior</t>
        </is>
      </c>
      <c r="C30" s="10" t="n"/>
      <c r="D30" s="10" t="n"/>
      <c r="E30" s="11">
        <f>D30-C30</f>
        <v/>
      </c>
      <c r="F30" s="12">
        <f>IFERROR((D30-C30)/C30,"")</f>
        <v/>
      </c>
      <c r="G30" s="13" t="inlineStr">
        <is>
          <t>a juntar</t>
        </is>
      </c>
      <c r="H30" s="13" t="inlineStr">
        <is>
          <t>contratos</t>
        </is>
      </c>
    </row>
    <row r="31">
      <c r="A31" s="9" t="inlineStr">
        <is>
          <t>F · DESPESAS — JURÍDICAS</t>
        </is>
      </c>
      <c r="B31" s="4" t="inlineStr">
        <is>
          <t>Honorários banca atual (Dra. Michele · Dr. Luiz)</t>
        </is>
      </c>
      <c r="C31" s="10" t="n"/>
      <c r="D31" s="10" t="n"/>
      <c r="E31" s="11">
        <f>D31-C31</f>
        <v/>
      </c>
      <c r="F31" s="12">
        <f>IFERROR((D31-C31)/C31,"")</f>
        <v/>
      </c>
      <c r="G31" s="13" t="inlineStr">
        <is>
          <t>vigente</t>
        </is>
      </c>
      <c r="H31" s="13" t="inlineStr">
        <is>
          <t>contratos atuais</t>
        </is>
      </c>
    </row>
    <row r="32">
      <c r="A32" s="9" t="inlineStr">
        <is>
          <t>F · DESPESAS — JURÍDICAS</t>
        </is>
      </c>
      <c r="B32" s="4" t="inlineStr">
        <is>
          <t>Perícias técnicas</t>
        </is>
      </c>
      <c r="C32" s="10" t="n"/>
      <c r="D32" s="10" t="n"/>
      <c r="E32" s="11">
        <f>D32-C32</f>
        <v/>
      </c>
      <c r="F32" s="12">
        <f>IFERROR((D32-C32)/C32,"")</f>
        <v/>
      </c>
      <c r="G32" s="13" t="inlineStr">
        <is>
          <t>a juntar</t>
        </is>
      </c>
      <c r="H32" s="13" t="inlineStr">
        <is>
          <t>NFs · contratos</t>
        </is>
      </c>
    </row>
    <row r="33">
      <c r="A33" s="9" t="inlineStr">
        <is>
          <t>F · DESPESAS — JURÍDICAS</t>
        </is>
      </c>
      <c r="B33" s="4" t="inlineStr">
        <is>
          <t>Pareceres especializados</t>
        </is>
      </c>
      <c r="C33" s="10" t="n"/>
      <c r="D33" s="10" t="n"/>
      <c r="E33" s="11">
        <f>D33-C33</f>
        <v/>
      </c>
      <c r="F33" s="12">
        <f>IFERROR((D33-C33)/C33,"")</f>
        <v/>
      </c>
      <c r="G33" s="13" t="inlineStr">
        <is>
          <t>a juntar</t>
        </is>
      </c>
      <c r="H33" s="13" t="inlineStr">
        <is>
          <t>—</t>
        </is>
      </c>
    </row>
    <row r="34">
      <c r="A34" s="9" t="inlineStr">
        <is>
          <t>F · DESPESAS — JURÍDICAS</t>
        </is>
      </c>
      <c r="B34" s="4" t="inlineStr">
        <is>
          <t>Custas processuais</t>
        </is>
      </c>
      <c r="C34" s="10" t="n"/>
      <c r="D34" s="10" t="n"/>
      <c r="E34" s="11">
        <f>D34-C34</f>
        <v/>
      </c>
      <c r="F34" s="12">
        <f>IFERROR((D34-C34)/C34,"")</f>
        <v/>
      </c>
      <c r="G34" s="13" t="inlineStr">
        <is>
          <t>a juntar</t>
        </is>
      </c>
      <c r="H34" s="13" t="inlineStr">
        <is>
          <t>—</t>
        </is>
      </c>
    </row>
    <row r="35">
      <c r="A35" s="14" t="inlineStr">
        <is>
          <t>F · TOTAL</t>
        </is>
      </c>
      <c r="B35" s="6" t="inlineStr">
        <is>
          <t>Subtotal Jurídico/Pericial</t>
        </is>
      </c>
      <c r="C35" s="15">
        <f>SUM(C30:C34)</f>
        <v/>
      </c>
      <c r="D35" s="15">
        <f>SUM(D30:D34)</f>
        <v/>
      </c>
      <c r="E35" s="16">
        <f>D35-C35</f>
        <v/>
      </c>
      <c r="F35" s="17">
        <f>IFERROR((D35-C35)/C35,"")</f>
        <v/>
      </c>
      <c r="G35" s="18" t="inlineStr"/>
      <c r="H35" s="18" t="inlineStr"/>
    </row>
    <row r="36">
      <c r="A36" s="9" t="inlineStr">
        <is>
          <t>G · OUTROS</t>
        </is>
      </c>
      <c r="B36" s="4" t="inlineStr">
        <is>
          <t>Alimentação</t>
        </is>
      </c>
      <c r="C36" s="10" t="n"/>
      <c r="D36" s="10" t="n"/>
      <c r="E36" s="11">
        <f>D36-C36</f>
        <v/>
      </c>
      <c r="F36" s="12">
        <f>IFERROR((D36-C36)/C36,"")</f>
        <v/>
      </c>
      <c r="G36" s="13" t="inlineStr">
        <is>
          <t>a juntar</t>
        </is>
      </c>
      <c r="H36" s="13" t="inlineStr">
        <is>
          <t>—</t>
        </is>
      </c>
    </row>
    <row r="37">
      <c r="A37" s="9" t="inlineStr">
        <is>
          <t>G · OUTROS</t>
        </is>
      </c>
      <c r="B37" s="4" t="inlineStr">
        <is>
          <t>Transporte</t>
        </is>
      </c>
      <c r="C37" s="10" t="n"/>
      <c r="D37" s="10" t="n"/>
      <c r="E37" s="11">
        <f>D37-C37</f>
        <v/>
      </c>
      <c r="F37" s="12">
        <f>IFERROR((D37-C37)/C37,"")</f>
        <v/>
      </c>
      <c r="G37" s="13" t="inlineStr">
        <is>
          <t>a juntar</t>
        </is>
      </c>
      <c r="H37" s="13" t="inlineStr">
        <is>
          <t>—</t>
        </is>
      </c>
    </row>
    <row r="38">
      <c r="A38" s="9" t="inlineStr">
        <is>
          <t>G · OUTROS</t>
        </is>
      </c>
      <c r="B38" s="4" t="inlineStr">
        <is>
          <t>Vestuário / itens pessoais</t>
        </is>
      </c>
      <c r="C38" s="10" t="n"/>
      <c r="D38" s="10" t="n"/>
      <c r="E38" s="11">
        <f>D38-C38</f>
        <v/>
      </c>
      <c r="F38" s="12">
        <f>IFERROR((D38-C38)/C38,"")</f>
        <v/>
      </c>
      <c r="G38" s="13" t="inlineStr">
        <is>
          <t>a juntar</t>
        </is>
      </c>
      <c r="H38" s="13" t="inlineStr">
        <is>
          <t>—</t>
        </is>
      </c>
    </row>
    <row r="39">
      <c r="A39" s="9" t="inlineStr">
        <is>
          <t>G · OUTROS</t>
        </is>
      </c>
      <c r="B39" s="4" t="inlineStr">
        <is>
          <t>Lazer (parcimônia)</t>
        </is>
      </c>
      <c r="C39" s="10" t="n"/>
      <c r="D39" s="10" t="n"/>
      <c r="E39" s="11">
        <f>D39-C39</f>
        <v/>
      </c>
      <c r="F39" s="12">
        <f>IFERROR((D39-C39)/C39,"")</f>
        <v/>
      </c>
      <c r="G39" s="13" t="inlineStr">
        <is>
          <t>a juntar</t>
        </is>
      </c>
      <c r="H39" s="13" t="inlineStr">
        <is>
          <t>—</t>
        </is>
      </c>
    </row>
    <row r="40">
      <c r="A40" s="14" t="inlineStr">
        <is>
          <t>G · TOTAL</t>
        </is>
      </c>
      <c r="B40" s="6" t="inlineStr">
        <is>
          <t>Subtotal Outros</t>
        </is>
      </c>
      <c r="C40" s="15">
        <f>SUM(C36:C39)</f>
        <v/>
      </c>
      <c r="D40" s="15">
        <f>SUM(D36:D39)</f>
        <v/>
      </c>
      <c r="E40" s="16">
        <f>D40-C40</f>
        <v/>
      </c>
      <c r="F40" s="17">
        <f>IFERROR((D40-C40)/C40,"")</f>
        <v/>
      </c>
      <c r="G40" s="18" t="inlineStr"/>
      <c r="H40" s="18" t="inlineStr"/>
    </row>
    <row r="41">
      <c r="A41" s="9" t="inlineStr">
        <is>
          <t>H · ENDIVIDAMENTO</t>
        </is>
      </c>
      <c r="B41" s="4" t="inlineStr">
        <is>
          <t>Cartões de crédito — saldo médio</t>
        </is>
      </c>
      <c r="C41" s="10" t="n"/>
      <c r="D41" s="10" t="n"/>
      <c r="E41" s="11">
        <f>D41-C41</f>
        <v/>
      </c>
      <c r="F41" s="12">
        <f>IFERROR((D41-C41)/C41,"")</f>
        <v/>
      </c>
      <c r="G41" s="13" t="inlineStr">
        <is>
          <t>a juntar</t>
        </is>
      </c>
      <c r="H41" s="13" t="inlineStr">
        <is>
          <t>faturas</t>
        </is>
      </c>
    </row>
    <row r="42">
      <c r="A42" s="9" t="inlineStr">
        <is>
          <t>H · ENDIVIDAMENTO</t>
        </is>
      </c>
      <c r="B42" s="4" t="inlineStr">
        <is>
          <t>Empréstimos pessoais</t>
        </is>
      </c>
      <c r="C42" s="10" t="n"/>
      <c r="D42" s="10" t="n"/>
      <c r="E42" s="11">
        <f>D42-C42</f>
        <v/>
      </c>
      <c r="F42" s="12">
        <f>IFERROR((D42-C42)/C42,"")</f>
        <v/>
      </c>
      <c r="G42" s="13" t="inlineStr">
        <is>
          <t>a juntar</t>
        </is>
      </c>
      <c r="H42" s="13" t="inlineStr">
        <is>
          <t>—</t>
        </is>
      </c>
    </row>
    <row r="43">
      <c r="A43" s="9" t="inlineStr">
        <is>
          <t>H · ENDIVIDAMENTO</t>
        </is>
      </c>
      <c r="B43" s="4" t="inlineStr">
        <is>
          <t>Outros débitos</t>
        </is>
      </c>
      <c r="C43" s="10" t="n"/>
      <c r="D43" s="10" t="n"/>
      <c r="E43" s="11">
        <f>D43-C43</f>
        <v/>
      </c>
      <c r="F43" s="12">
        <f>IFERROR((D43-C43)/C43,"")</f>
        <v/>
      </c>
      <c r="G43" s="13" t="inlineStr">
        <is>
          <t>a juntar</t>
        </is>
      </c>
      <c r="H43" s="13" t="inlineStr">
        <is>
          <t>—</t>
        </is>
      </c>
    </row>
    <row r="44">
      <c r="A44" s="14" t="inlineStr">
        <is>
          <t>H · TOTAL</t>
        </is>
      </c>
      <c r="B44" s="6" t="inlineStr">
        <is>
          <t>Subtotal Passivo</t>
        </is>
      </c>
      <c r="C44" s="15">
        <f>SUM(C41:C43)</f>
        <v/>
      </c>
      <c r="D44" s="15">
        <f>SUM(D41:D43)</f>
        <v/>
      </c>
      <c r="E44" s="16">
        <f>D44-C44</f>
        <v/>
      </c>
      <c r="F44" s="17">
        <f>IFERROR((D44-C44)/C44,"")</f>
        <v/>
      </c>
      <c r="G44" s="18" t="inlineStr"/>
      <c r="H44" s="18" t="inlineStr"/>
    </row>
    <row r="45">
      <c r="A45" s="9" t="inlineStr">
        <is>
          <t>I · GASTOS ACUMULADOS</t>
        </is>
      </c>
      <c r="B45" s="4" t="inlineStr">
        <is>
          <t>Total acumulado em defesa, perícias e despesas médicas</t>
        </is>
      </c>
      <c r="C45" s="10" t="n">
        <v>0</v>
      </c>
      <c r="D45" s="10" t="n">
        <v>1000000</v>
      </c>
      <c r="E45" s="11">
        <f>D45-C45</f>
        <v/>
      </c>
      <c r="F45" s="12">
        <f>IFERROR((D45-C45)/C45,"")</f>
        <v/>
      </c>
      <c r="G45" s="13" t="inlineStr">
        <is>
          <t>documentado</t>
        </is>
      </c>
      <c r="H45" s="13" t="inlineStr">
        <is>
          <t>Doc 11 · estimativa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9" customWidth="1" min="7" max="7"/>
    <col width="22" customWidth="1" min="8" max="8"/>
    <col width="32" customWidth="1" min="9" max="9"/>
  </cols>
  <sheetData>
    <row r="1">
      <c r="A1" s="7" t="inlineStr">
        <is>
          <t>RENDIMENTOS DA DENUNCIANTE · DETALHAMENTO POR FONTE</t>
        </is>
      </c>
    </row>
    <row r="3" ht="30" customHeight="1">
      <c r="A3" s="8" t="inlineStr">
        <is>
          <t>Fonte</t>
        </is>
      </c>
      <c r="B3" s="8" t="inlineStr">
        <is>
          <t>2023 mensal</t>
        </is>
      </c>
      <c r="C3" s="8" t="inlineStr">
        <is>
          <t>2023 anual</t>
        </is>
      </c>
      <c r="D3" s="8" t="inlineStr">
        <is>
          <t>2026 mensal</t>
        </is>
      </c>
      <c r="E3" s="8" t="inlineStr">
        <is>
          <t>2026 anual</t>
        </is>
      </c>
      <c r="F3" s="8" t="inlineStr">
        <is>
          <t>Δ Anual</t>
        </is>
      </c>
      <c r="G3" s="8" t="inlineStr">
        <is>
          <t>Δ %</t>
        </is>
      </c>
      <c r="H3" s="8" t="inlineStr">
        <is>
          <t>Documentação</t>
        </is>
      </c>
      <c r="I3" s="8" t="inlineStr">
        <is>
          <t>Observação forense</t>
        </is>
      </c>
    </row>
    <row r="4">
      <c r="A4" s="4" t="inlineStr">
        <is>
          <t>Salário / remuneração pessoal</t>
        </is>
      </c>
      <c r="B4" s="10" t="n"/>
      <c r="C4" s="10">
        <f>IF(B4="","",B4*12)</f>
        <v/>
      </c>
      <c r="D4" s="10" t="n"/>
      <c r="E4" s="10">
        <f>IF(D4="","",D4*12)</f>
        <v/>
      </c>
      <c r="F4" s="10">
        <f>IFERROR(E4-C4,"")</f>
        <v/>
      </c>
      <c r="G4" s="12">
        <f>IFERROR((E4-C4)/C4,"")</f>
        <v/>
      </c>
      <c r="H4" s="13" t="inlineStr">
        <is>
          <t>DIRPF · holerites</t>
        </is>
      </c>
      <c r="I4" s="13" t="inlineStr">
        <is>
          <t>Cruzar com declaração anual completa</t>
        </is>
      </c>
    </row>
    <row r="5">
      <c r="A5" s="4" t="inlineStr">
        <is>
          <t>Pensão alimentícia fixada (valor formal)</t>
        </is>
      </c>
      <c r="B5" s="10" t="n"/>
      <c r="C5" s="10">
        <f>IF(B5="","",B5*12)</f>
        <v/>
      </c>
      <c r="D5" s="10" t="n"/>
      <c r="E5" s="10">
        <f>IF(D5="","",D5*12)</f>
        <v/>
      </c>
      <c r="F5" s="10">
        <f>IFERROR(E5-C5,"")</f>
        <v/>
      </c>
      <c r="G5" s="12">
        <f>IFERROR((E5-C5)/C5,"")</f>
        <v/>
      </c>
      <c r="H5" s="13" t="inlineStr">
        <is>
          <t>decisão judicial</t>
        </is>
      </c>
      <c r="I5" s="13" t="inlineStr">
        <is>
          <t>Mensurar diferença formal × efetivamente recebido</t>
        </is>
      </c>
    </row>
    <row r="6">
      <c r="A6" s="4" t="inlineStr">
        <is>
          <t>Pensão alimentícia efetivamente recebida</t>
        </is>
      </c>
      <c r="B6" s="10" t="n"/>
      <c r="C6" s="10">
        <f>IF(B6="","",B6*12)</f>
        <v/>
      </c>
      <c r="D6" s="10" t="n"/>
      <c r="E6" s="10">
        <f>IF(D6="","",D6*12)</f>
        <v/>
      </c>
      <c r="F6" s="10">
        <f>IFERROR(E6-C6,"")</f>
        <v/>
      </c>
      <c r="G6" s="12">
        <f>IFERROR((E6-C6)/C6,"")</f>
        <v/>
      </c>
      <c r="H6" s="13" t="inlineStr">
        <is>
          <t>extratos</t>
        </is>
      </c>
      <c r="I6" s="13" t="inlineStr">
        <is>
          <t>Apontar atrasos · valores parciais</t>
        </is>
      </c>
    </row>
    <row r="7">
      <c r="A7" s="4" t="inlineStr">
        <is>
          <t>Rendimentos de aplicações</t>
        </is>
      </c>
      <c r="B7" s="10" t="n"/>
      <c r="C7" s="10">
        <f>IF(B7="","",B7*12)</f>
        <v/>
      </c>
      <c r="D7" s="10" t="n"/>
      <c r="E7" s="10">
        <f>IF(D7="","",D7*12)</f>
        <v/>
      </c>
      <c r="F7" s="10">
        <f>IFERROR(E7-C7,"")</f>
        <v/>
      </c>
      <c r="G7" s="12">
        <f>IFERROR((E7-C7)/C7,"")</f>
        <v/>
      </c>
      <c r="H7" s="13" t="inlineStr">
        <is>
          <t>informe IR</t>
        </is>
      </c>
      <c r="I7" s="13" t="inlineStr">
        <is>
          <t>Distinguir poupança · CDB · fundos</t>
        </is>
      </c>
    </row>
    <row r="8">
      <c r="A8" s="4" t="inlineStr">
        <is>
          <t>Aluguéis recebidos</t>
        </is>
      </c>
      <c r="B8" s="10" t="n"/>
      <c r="C8" s="10">
        <f>IF(B8="","",B8*12)</f>
        <v/>
      </c>
      <c r="D8" s="10" t="n"/>
      <c r="E8" s="10">
        <f>IF(D8="","",D8*12)</f>
        <v/>
      </c>
      <c r="F8" s="10">
        <f>IFERROR(E8-C8,"")</f>
        <v/>
      </c>
      <c r="G8" s="12">
        <f>IFERROR((E8-C8)/C8,"")</f>
        <v/>
      </c>
      <c r="H8" s="13" t="inlineStr">
        <is>
          <t>contratos · recibos</t>
        </is>
      </c>
      <c r="I8" s="13" t="inlineStr">
        <is>
          <t>—</t>
        </is>
      </c>
    </row>
    <row r="9">
      <c r="A9" s="4" t="inlineStr">
        <is>
          <t>Auxílios institucionais (BPC · auxílio PCD se aplicável)</t>
        </is>
      </c>
      <c r="B9" s="10" t="n"/>
      <c r="C9" s="10">
        <f>IF(B9="","",B9*12)</f>
        <v/>
      </c>
      <c r="D9" s="10" t="n"/>
      <c r="E9" s="10">
        <f>IF(D9="","",D9*12)</f>
        <v/>
      </c>
      <c r="F9" s="10">
        <f>IFERROR(E9-C9,"")</f>
        <v/>
      </c>
      <c r="G9" s="12">
        <f>IFERROR((E9-C9)/C9,"")</f>
        <v/>
      </c>
      <c r="H9" s="13" t="inlineStr">
        <is>
          <t>INSS · benefício</t>
        </is>
      </c>
      <c r="I9" s="13" t="inlineStr">
        <is>
          <t>Verificar elegibilidade CID F33+F90</t>
        </is>
      </c>
    </row>
    <row r="10">
      <c r="A10" s="4" t="inlineStr">
        <is>
          <t>Outras receitas eventuais</t>
        </is>
      </c>
      <c r="B10" s="10" t="n"/>
      <c r="C10" s="10">
        <f>IF(B10="","",B10*12)</f>
        <v/>
      </c>
      <c r="D10" s="10" t="n"/>
      <c r="E10" s="10">
        <f>IF(D10="","",D10*12)</f>
        <v/>
      </c>
      <c r="F10" s="10">
        <f>IFERROR(E10-C10,"")</f>
        <v/>
      </c>
      <c r="G10" s="12">
        <f>IFERROR((E10-C10)/C10,"")</f>
        <v/>
      </c>
      <c r="H10" s="13" t="inlineStr">
        <is>
          <t>—</t>
        </is>
      </c>
      <c r="I10" s="13" t="inlineStr">
        <is>
          <t>—</t>
        </is>
      </c>
    </row>
    <row r="11">
      <c r="A11" s="6" t="inlineStr">
        <is>
          <t>TOTAL</t>
        </is>
      </c>
      <c r="B11" s="15">
        <f>SUM(B4:B10)</f>
        <v/>
      </c>
      <c r="C11" s="15">
        <f>SUM(C4:C10)</f>
        <v/>
      </c>
      <c r="D11" s="15">
        <f>SUM(D4:D10)</f>
        <v/>
      </c>
      <c r="E11" s="15">
        <f>SUM(E4:E10)</f>
        <v/>
      </c>
      <c r="F11" s="15">
        <f>SUM(F4:F10)</f>
        <v/>
      </c>
      <c r="G11" s="17">
        <f>IFERROR((E11-C11)/C11,"")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4" customWidth="1" min="4" max="4"/>
    <col width="14" customWidth="1" min="5" max="5"/>
    <col width="9" customWidth="1" min="6" max="6"/>
    <col width="24" customWidth="1" min="7" max="7"/>
    <col width="30" customWidth="1" min="8" max="8"/>
  </cols>
  <sheetData>
    <row r="1">
      <c r="A1" s="7" t="inlineStr">
        <is>
          <t>PATRIMÔNIO POSICIONAL · 2023 × 2026</t>
        </is>
      </c>
    </row>
    <row r="3" ht="30" customHeight="1">
      <c r="A3" s="8" t="inlineStr">
        <is>
          <t>Linha</t>
        </is>
      </c>
      <c r="B3" s="8" t="inlineStr">
        <is>
          <t>Item</t>
        </is>
      </c>
      <c r="C3" s="8" t="inlineStr">
        <is>
          <t>2023 (R$)</t>
        </is>
      </c>
      <c r="D3" s="8" t="inlineStr">
        <is>
          <t>2026 (R$)</t>
        </is>
      </c>
      <c r="E3" s="8" t="inlineStr">
        <is>
          <t>Δ Absoluta</t>
        </is>
      </c>
      <c r="F3" s="8" t="inlineStr">
        <is>
          <t>Δ %</t>
        </is>
      </c>
      <c r="G3" s="8" t="inlineStr">
        <is>
          <t>Documentação</t>
        </is>
      </c>
      <c r="H3" s="8" t="inlineStr">
        <is>
          <t>Observação</t>
        </is>
      </c>
    </row>
    <row r="4">
      <c r="A4" s="19" t="inlineStr">
        <is>
          <t>ATIVO 1</t>
        </is>
      </c>
      <c r="B4" s="4" t="inlineStr">
        <is>
          <t>Conta corrente — saldo médio</t>
        </is>
      </c>
      <c r="C4" s="10" t="n"/>
      <c r="D4" s="10" t="n"/>
      <c r="E4" s="11">
        <f>D4-C4</f>
        <v/>
      </c>
      <c r="F4" s="12">
        <f>IFERROR((D4-C4)/C4,"")</f>
        <v/>
      </c>
      <c r="G4" s="13" t="inlineStr">
        <is>
          <t>extratos mensais</t>
        </is>
      </c>
      <c r="H4" s="13" t="inlineStr">
        <is>
          <t>Comparar saldo posicional 31/12</t>
        </is>
      </c>
    </row>
    <row r="5">
      <c r="A5" s="19" t="inlineStr">
        <is>
          <t>ATIVO 2</t>
        </is>
      </c>
      <c r="B5" s="4" t="inlineStr">
        <is>
          <t>Aplicações financeiras (renda fixa)</t>
        </is>
      </c>
      <c r="C5" s="10" t="n"/>
      <c r="D5" s="10" t="n"/>
      <c r="E5" s="11">
        <f>D5-C5</f>
        <v/>
      </c>
      <c r="F5" s="12">
        <f>IFERROR((D5-C5)/C5,"")</f>
        <v/>
      </c>
      <c r="G5" s="13" t="inlineStr">
        <is>
          <t>informe IR</t>
        </is>
      </c>
      <c r="H5" s="13" t="inlineStr">
        <is>
          <t>Esperada redução se houve consumo</t>
        </is>
      </c>
    </row>
    <row r="6">
      <c r="A6" s="19" t="inlineStr">
        <is>
          <t>ATIVO 3</t>
        </is>
      </c>
      <c r="B6" s="4" t="inlineStr">
        <is>
          <t>Aplicações financeiras (renda variável)</t>
        </is>
      </c>
      <c r="C6" s="10" t="n"/>
      <c r="D6" s="10" t="n"/>
      <c r="E6" s="11">
        <f>D6-C6</f>
        <v/>
      </c>
      <c r="F6" s="12">
        <f>IFERROR((D6-C6)/C6,"")</f>
        <v/>
      </c>
      <c r="G6" s="13" t="inlineStr">
        <is>
          <t>informe IR</t>
        </is>
      </c>
      <c r="H6" s="13" t="inlineStr">
        <is>
          <t>—</t>
        </is>
      </c>
    </row>
    <row r="7">
      <c r="A7" s="19" t="inlineStr">
        <is>
          <t>ATIVO 4</t>
        </is>
      </c>
      <c r="B7" s="4" t="inlineStr">
        <is>
          <t>Poupança</t>
        </is>
      </c>
      <c r="C7" s="10" t="n"/>
      <c r="D7" s="10" t="n"/>
      <c r="E7" s="11">
        <f>D7-C7</f>
        <v/>
      </c>
      <c r="F7" s="12">
        <f>IFERROR((D7-C7)/C7,"")</f>
        <v/>
      </c>
      <c r="G7" s="13" t="inlineStr">
        <is>
          <t>extratos</t>
        </is>
      </c>
      <c r="H7" s="13" t="inlineStr">
        <is>
          <t>—</t>
        </is>
      </c>
    </row>
    <row r="8">
      <c r="A8" s="19" t="inlineStr">
        <is>
          <t>ATIVO 5</t>
        </is>
      </c>
      <c r="B8" s="4" t="inlineStr">
        <is>
          <t>Imóvel residencial principal</t>
        </is>
      </c>
      <c r="C8" s="10" t="n"/>
      <c r="D8" s="10" t="n"/>
      <c r="E8" s="11">
        <f>D8-C8</f>
        <v/>
      </c>
      <c r="F8" s="12">
        <f>IFERROR((D8-C8)/C8,"")</f>
        <v/>
      </c>
      <c r="G8" s="13" t="inlineStr">
        <is>
          <t>matrícula + avaliação</t>
        </is>
      </c>
      <c r="H8" s="13" t="inlineStr">
        <is>
          <t>Bem comum × bem particular</t>
        </is>
      </c>
    </row>
    <row r="9">
      <c r="A9" s="19" t="inlineStr">
        <is>
          <t>ATIVO 6</t>
        </is>
      </c>
      <c r="B9" s="4" t="inlineStr">
        <is>
          <t>Imóveis adicionais</t>
        </is>
      </c>
      <c r="C9" s="10" t="n"/>
      <c r="D9" s="10" t="n"/>
      <c r="E9" s="11">
        <f>D9-C9</f>
        <v/>
      </c>
      <c r="F9" s="12">
        <f>IFERROR((D9-C9)/C9,"")</f>
        <v/>
      </c>
      <c r="G9" s="13" t="inlineStr">
        <is>
          <t>matrículas</t>
        </is>
      </c>
      <c r="H9" s="13" t="inlineStr">
        <is>
          <t>—</t>
        </is>
      </c>
    </row>
    <row r="10">
      <c r="A10" s="19" t="inlineStr">
        <is>
          <t>ATIVO 7</t>
        </is>
      </c>
      <c r="B10" s="4" t="inlineStr">
        <is>
          <t>Veículos</t>
        </is>
      </c>
      <c r="C10" s="10" t="n"/>
      <c r="D10" s="10" t="n"/>
      <c r="E10" s="11">
        <f>D10-C10</f>
        <v/>
      </c>
      <c r="F10" s="12">
        <f>IFERROR((D10-C10)/C10,"")</f>
        <v/>
      </c>
      <c r="G10" s="13" t="inlineStr">
        <is>
          <t>CRLV + FIPE</t>
        </is>
      </c>
      <c r="H10" s="13" t="inlineStr">
        <is>
          <t>—</t>
        </is>
      </c>
    </row>
    <row r="11">
      <c r="A11" s="19" t="inlineStr">
        <is>
          <t>ATIVO 8</t>
        </is>
      </c>
      <c r="B11" s="4" t="inlineStr">
        <is>
          <t>Outros bens declarados em DIRPF</t>
        </is>
      </c>
      <c r="C11" s="10" t="n"/>
      <c r="D11" s="10" t="n"/>
      <c r="E11" s="11">
        <f>D11-C11</f>
        <v/>
      </c>
      <c r="F11" s="12">
        <f>IFERROR((D11-C11)/C11,"")</f>
        <v/>
      </c>
      <c r="G11" s="13" t="inlineStr">
        <is>
          <t>DIRPF</t>
        </is>
      </c>
      <c r="H11" s="13" t="inlineStr">
        <is>
          <t>—</t>
        </is>
      </c>
    </row>
    <row r="12">
      <c r="A12" s="19" t="inlineStr">
        <is>
          <t>PASSIVO 1</t>
        </is>
      </c>
      <c r="B12" s="4" t="inlineStr">
        <is>
          <t>Cartões de crédito — saldo médio devedor</t>
        </is>
      </c>
      <c r="C12" s="10" t="n"/>
      <c r="D12" s="10" t="n"/>
      <c r="E12" s="11">
        <f>D12-C12</f>
        <v/>
      </c>
      <c r="F12" s="12">
        <f>IFERROR((D12-C12)/C12,"")</f>
        <v/>
      </c>
      <c r="G12" s="13" t="inlineStr">
        <is>
          <t>faturas</t>
        </is>
      </c>
      <c r="H12" s="13" t="inlineStr">
        <is>
          <t>Saltos pós-início do litígio</t>
        </is>
      </c>
    </row>
    <row r="13">
      <c r="A13" s="19" t="inlineStr">
        <is>
          <t>PASSIVO 2</t>
        </is>
      </c>
      <c r="B13" s="4" t="inlineStr">
        <is>
          <t>Empréstimos / financiamentos pessoais</t>
        </is>
      </c>
      <c r="C13" s="10" t="n"/>
      <c r="D13" s="10" t="n"/>
      <c r="E13" s="11">
        <f>D13-C13</f>
        <v/>
      </c>
      <c r="F13" s="12">
        <f>IFERROR((D13-C13)/C13,"")</f>
        <v/>
      </c>
      <c r="G13" s="13" t="inlineStr">
        <is>
          <t>contratos</t>
        </is>
      </c>
      <c r="H13" s="13" t="inlineStr">
        <is>
          <t>Distinguir empréstimo p/ honorários</t>
        </is>
      </c>
    </row>
    <row r="14">
      <c r="A14" s="19" t="inlineStr">
        <is>
          <t>PASSIVO 3</t>
        </is>
      </c>
      <c r="B14" s="4" t="inlineStr">
        <is>
          <t>Dívidas com terceiros (familiares · profissionais)</t>
        </is>
      </c>
      <c r="C14" s="10" t="n"/>
      <c r="D14" s="10" t="n"/>
      <c r="E14" s="11">
        <f>D14-C14</f>
        <v/>
      </c>
      <c r="F14" s="12">
        <f>IFERROR((D14-C14)/C14,"")</f>
        <v/>
      </c>
      <c r="G14" s="13" t="inlineStr">
        <is>
          <t>—</t>
        </is>
      </c>
      <c r="H14" s="13" t="inlineStr">
        <is>
          <t>Custo real de subsistência</t>
        </is>
      </c>
    </row>
    <row r="15">
      <c r="A15" s="19" t="inlineStr">
        <is>
          <t>PASSIVO 4</t>
        </is>
      </c>
      <c r="B15" s="4" t="inlineStr">
        <is>
          <t>Outros passivos</t>
        </is>
      </c>
      <c r="C15" s="10" t="n"/>
      <c r="D15" s="10" t="n"/>
      <c r="E15" s="11">
        <f>D15-C15</f>
        <v/>
      </c>
      <c r="F15" s="12">
        <f>IFERROR((D15-C15)/C15,"")</f>
        <v/>
      </c>
      <c r="G15" s="13" t="inlineStr">
        <is>
          <t>—</t>
        </is>
      </c>
      <c r="H15" s="13" t="inlineStr">
        <is>
          <t>—</t>
        </is>
      </c>
    </row>
    <row r="16">
      <c r="B16" s="20" t="inlineStr">
        <is>
          <t>TOTAL ATIVO</t>
        </is>
      </c>
      <c r="C16" s="21">
        <f>SUM(C4:C11)</f>
        <v/>
      </c>
      <c r="D16" s="21">
        <f>SUM(D4:D11)</f>
        <v/>
      </c>
      <c r="E16" s="21">
        <f>D16-C16</f>
        <v/>
      </c>
      <c r="F16" s="22">
        <f>IFERROR((D16-C16)/C16,"")</f>
        <v/>
      </c>
    </row>
    <row r="17">
      <c r="B17" s="23" t="inlineStr">
        <is>
          <t>TOTAL PASSIVO</t>
        </is>
      </c>
      <c r="C17" s="24">
        <f>SUM(C12:C15)</f>
        <v/>
      </c>
      <c r="D17" s="24">
        <f>SUM(D12:D15)</f>
        <v/>
      </c>
      <c r="E17" s="24">
        <f>D17-C17</f>
        <v/>
      </c>
      <c r="F17" s="25">
        <f>IFERROR((D17-C17)/C17,"")</f>
        <v/>
      </c>
    </row>
    <row r="18">
      <c r="B18" s="6" t="inlineStr">
        <is>
          <t>PATRIMÔNIO LÍQUIDO (Ativo − Passivo)</t>
        </is>
      </c>
      <c r="C18" s="15">
        <f>C16-C17</f>
        <v/>
      </c>
      <c r="D18" s="15">
        <f>D16-D17</f>
        <v/>
      </c>
      <c r="E18" s="15">
        <f>D18-C18</f>
        <v/>
      </c>
      <c r="F18" s="17">
        <f>IFERROR((D18-C18)/C18,"")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9" customWidth="1" min="8" max="8"/>
    <col width="28" customWidth="1" min="9" max="9"/>
  </cols>
  <sheetData>
    <row r="1">
      <c r="A1" s="7" t="inlineStr">
        <is>
          <t>DESPESAS OPERACIONAIS · 2023 × 2026</t>
        </is>
      </c>
    </row>
    <row r="3" ht="30" customHeight="1">
      <c r="A3" s="8" t="inlineStr">
        <is>
          <t>Grupo</t>
        </is>
      </c>
      <c r="B3" s="8" t="inlineStr">
        <is>
          <t>Item</t>
        </is>
      </c>
      <c r="C3" s="8" t="inlineStr">
        <is>
          <t>2023 mensal</t>
        </is>
      </c>
      <c r="D3" s="8" t="inlineStr">
        <is>
          <t>2023 anual</t>
        </is>
      </c>
      <c r="E3" s="8" t="inlineStr">
        <is>
          <t>2026 mensal</t>
        </is>
      </c>
      <c r="F3" s="8" t="inlineStr">
        <is>
          <t>2026 anual</t>
        </is>
      </c>
      <c r="G3" s="8" t="inlineStr">
        <is>
          <t>Δ Anual</t>
        </is>
      </c>
      <c r="H3" s="8" t="inlineStr">
        <is>
          <t>Δ %</t>
        </is>
      </c>
      <c r="I3" s="8" t="inlineStr">
        <is>
          <t>Observação</t>
        </is>
      </c>
    </row>
    <row r="4">
      <c r="A4" s="19" t="inlineStr">
        <is>
          <t>Moradia</t>
        </is>
      </c>
      <c r="B4" s="4" t="inlineStr">
        <is>
          <t>Aluguel / financiamento</t>
        </is>
      </c>
      <c r="C4" s="10" t="n"/>
      <c r="D4" s="10">
        <f>IF(C4="","",C4*12)</f>
        <v/>
      </c>
      <c r="E4" s="10" t="n"/>
      <c r="F4" s="10">
        <f>IF(E4="","",E4*12)</f>
        <v/>
      </c>
      <c r="G4" s="10">
        <f>IFERROR(F4-D4,"")</f>
        <v/>
      </c>
      <c r="H4" s="12">
        <f>IFERROR((F4-D4)/D4,"")</f>
        <v/>
      </c>
      <c r="I4" s="13" t="inlineStr">
        <is>
          <t>—</t>
        </is>
      </c>
    </row>
    <row r="5">
      <c r="A5" s="19" t="inlineStr">
        <is>
          <t>Moradia</t>
        </is>
      </c>
      <c r="B5" s="4" t="inlineStr">
        <is>
          <t>Condomínio + IPTU</t>
        </is>
      </c>
      <c r="C5" s="10" t="n"/>
      <c r="D5" s="10">
        <f>IF(C5="","",C5*12)</f>
        <v/>
      </c>
      <c r="E5" s="10" t="n"/>
      <c r="F5" s="10">
        <f>IF(E5="","",E5*12)</f>
        <v/>
      </c>
      <c r="G5" s="10">
        <f>IFERROR(F5-D5,"")</f>
        <v/>
      </c>
      <c r="H5" s="12">
        <f>IFERROR((F5-D5)/D5,"")</f>
        <v/>
      </c>
      <c r="I5" s="13" t="inlineStr">
        <is>
          <t>—</t>
        </is>
      </c>
    </row>
    <row r="6">
      <c r="A6" s="19" t="inlineStr">
        <is>
          <t>Moradia</t>
        </is>
      </c>
      <c r="B6" s="4" t="inlineStr">
        <is>
          <t>Utilidades (água · luz · gás · internet)</t>
        </is>
      </c>
      <c r="C6" s="10" t="n"/>
      <c r="D6" s="10">
        <f>IF(C6="","",C6*12)</f>
        <v/>
      </c>
      <c r="E6" s="10" t="n"/>
      <c r="F6" s="10">
        <f>IF(E6="","",E6*12)</f>
        <v/>
      </c>
      <c r="G6" s="10">
        <f>IFERROR(F6-D6,"")</f>
        <v/>
      </c>
      <c r="H6" s="12">
        <f>IFERROR((F6-D6)/D6,"")</f>
        <v/>
      </c>
      <c r="I6" s="13" t="inlineStr">
        <is>
          <t>—</t>
        </is>
      </c>
    </row>
    <row r="7">
      <c r="A7" s="19" t="inlineStr">
        <is>
          <t>Moradia</t>
        </is>
      </c>
      <c r="B7" s="4" t="inlineStr">
        <is>
          <t>Manutenção e reparos</t>
        </is>
      </c>
      <c r="C7" s="10" t="n"/>
      <c r="D7" s="10">
        <f>IF(C7="","",C7*12)</f>
        <v/>
      </c>
      <c r="E7" s="10" t="n"/>
      <c r="F7" s="10">
        <f>IF(E7="","",E7*12)</f>
        <v/>
      </c>
      <c r="G7" s="10">
        <f>IFERROR(F7-D7,"")</f>
        <v/>
      </c>
      <c r="H7" s="12">
        <f>IFERROR((F7-D7)/D7,"")</f>
        <v/>
      </c>
      <c r="I7" s="13" t="inlineStr">
        <is>
          <t>—</t>
        </is>
      </c>
    </row>
    <row r="8">
      <c r="A8" s="19" t="inlineStr">
        <is>
          <t>Filhos · educação</t>
        </is>
      </c>
      <c r="B8" s="4" t="inlineStr">
        <is>
          <t>Mensalidade escolar</t>
        </is>
      </c>
      <c r="C8" s="10" t="n"/>
      <c r="D8" s="10">
        <f>IF(C8="","",C8*12)</f>
        <v/>
      </c>
      <c r="E8" s="10" t="n"/>
      <c r="F8" s="10">
        <f>IF(E8="","",E8*12)</f>
        <v/>
      </c>
      <c r="G8" s="10">
        <f>IFERROR(F8-D8,"")</f>
        <v/>
      </c>
      <c r="H8" s="12">
        <f>IFERROR((F8-D8)/D8,"")</f>
        <v/>
      </c>
      <c r="I8" s="13" t="inlineStr">
        <is>
          <t>Detalhar por filho</t>
        </is>
      </c>
    </row>
    <row r="9">
      <c r="A9" s="19" t="inlineStr">
        <is>
          <t>Filhos · educação</t>
        </is>
      </c>
      <c r="B9" s="4" t="inlineStr">
        <is>
          <t>Material didático e uniformes</t>
        </is>
      </c>
      <c r="C9" s="10" t="n"/>
      <c r="D9" s="10">
        <f>IF(C9="","",C9*12)</f>
        <v/>
      </c>
      <c r="E9" s="10" t="n"/>
      <c r="F9" s="10">
        <f>IF(E9="","",E9*12)</f>
        <v/>
      </c>
      <c r="G9" s="10">
        <f>IFERROR(F9-D9,"")</f>
        <v/>
      </c>
      <c r="H9" s="12">
        <f>IFERROR((F9-D9)/D9,"")</f>
        <v/>
      </c>
      <c r="I9" s="13" t="inlineStr">
        <is>
          <t>—</t>
        </is>
      </c>
    </row>
    <row r="10">
      <c r="A10" s="19" t="inlineStr">
        <is>
          <t>Filhos · educação</t>
        </is>
      </c>
      <c r="B10" s="4" t="inlineStr">
        <is>
          <t>Transporte escolar</t>
        </is>
      </c>
      <c r="C10" s="10" t="n"/>
      <c r="D10" s="10">
        <f>IF(C10="","",C10*12)</f>
        <v/>
      </c>
      <c r="E10" s="10" t="n"/>
      <c r="F10" s="10">
        <f>IF(E10="","",E10*12)</f>
        <v/>
      </c>
      <c r="G10" s="10">
        <f>IFERROR(F10-D10,"")</f>
        <v/>
      </c>
      <c r="H10" s="12">
        <f>IFERROR((F10-D10)/D10,"")</f>
        <v/>
      </c>
      <c r="I10" s="13" t="inlineStr">
        <is>
          <t>—</t>
        </is>
      </c>
    </row>
    <row r="11">
      <c r="A11" s="19" t="inlineStr">
        <is>
          <t>Filhos · educação</t>
        </is>
      </c>
      <c r="B11" s="4" t="inlineStr">
        <is>
          <t>Atividades extracurriculares</t>
        </is>
      </c>
      <c r="C11" s="10" t="n"/>
      <c r="D11" s="10">
        <f>IF(C11="","",C11*12)</f>
        <v/>
      </c>
      <c r="E11" s="10" t="n"/>
      <c r="F11" s="10">
        <f>IF(E11="","",E11*12)</f>
        <v/>
      </c>
      <c r="G11" s="10">
        <f>IFERROR(F11-D11,"")</f>
        <v/>
      </c>
      <c r="H11" s="12">
        <f>IFERROR((F11-D11)/D11,"")</f>
        <v/>
      </c>
      <c r="I11" s="13" t="inlineStr">
        <is>
          <t>Esportes · artes · idiomas</t>
        </is>
      </c>
    </row>
    <row r="12">
      <c r="A12" s="19" t="inlineStr">
        <is>
          <t>Filhos · saúde</t>
        </is>
      </c>
      <c r="B12" s="4" t="inlineStr">
        <is>
          <t>Plano de saúde dos filhos</t>
        </is>
      </c>
      <c r="C12" s="10" t="n"/>
      <c r="D12" s="10">
        <f>IF(C12="","",C12*12)</f>
        <v/>
      </c>
      <c r="E12" s="10" t="n"/>
      <c r="F12" s="10">
        <f>IF(E12="","",E12*12)</f>
        <v/>
      </c>
      <c r="G12" s="10">
        <f>IFERROR(F12-D12,"")</f>
        <v/>
      </c>
      <c r="H12" s="12">
        <f>IFERROR((F12-D12)/D12,"")</f>
        <v/>
      </c>
      <c r="I12" s="13" t="inlineStr">
        <is>
          <t>Restabelecido — Proc. 1001019-83.2026</t>
        </is>
      </c>
    </row>
    <row r="13">
      <c r="A13" s="19" t="inlineStr">
        <is>
          <t>Filhos · saúde</t>
        </is>
      </c>
      <c r="B13" s="4" t="inlineStr">
        <is>
          <t>Consultas e exames particulares</t>
        </is>
      </c>
      <c r="C13" s="10" t="n"/>
      <c r="D13" s="10">
        <f>IF(C13="","",C13*12)</f>
        <v/>
      </c>
      <c r="E13" s="10" t="n"/>
      <c r="F13" s="10">
        <f>IF(E13="","",E13*12)</f>
        <v/>
      </c>
      <c r="G13" s="10">
        <f>IFERROR(F13-D13,"")</f>
        <v/>
      </c>
      <c r="H13" s="12">
        <f>IFERROR((F13-D13)/D13,"")</f>
        <v/>
      </c>
      <c r="I13" s="13" t="inlineStr">
        <is>
          <t>—</t>
        </is>
      </c>
    </row>
    <row r="14">
      <c r="A14" s="19" t="inlineStr">
        <is>
          <t>Filhos · saúde</t>
        </is>
      </c>
      <c r="B14" s="4" t="inlineStr">
        <is>
          <t>Medicação</t>
        </is>
      </c>
      <c r="C14" s="10" t="n"/>
      <c r="D14" s="10">
        <f>IF(C14="","",C14*12)</f>
        <v/>
      </c>
      <c r="E14" s="10" t="n"/>
      <c r="F14" s="10">
        <f>IF(E14="","",E14*12)</f>
        <v/>
      </c>
      <c r="G14" s="10">
        <f>IFERROR(F14-D14,"")</f>
        <v/>
      </c>
      <c r="H14" s="12">
        <f>IFERROR((F14-D14)/D14,"")</f>
        <v/>
      </c>
      <c r="I14" s="13" t="inlineStr">
        <is>
          <t>—</t>
        </is>
      </c>
    </row>
    <row r="15">
      <c r="A15" s="19" t="inlineStr">
        <is>
          <t>Filhos · saúde</t>
        </is>
      </c>
      <c r="B15" s="4" t="inlineStr">
        <is>
          <t>Psicoterapia / acompanhamento</t>
        </is>
      </c>
      <c r="C15" s="10" t="n"/>
      <c r="D15" s="10">
        <f>IF(C15="","",C15*12)</f>
        <v/>
      </c>
      <c r="E15" s="10" t="n"/>
      <c r="F15" s="10">
        <f>IF(E15="","",E15*12)</f>
        <v/>
      </c>
      <c r="G15" s="10">
        <f>IFERROR(F15-D15,"")</f>
        <v/>
      </c>
      <c r="H15" s="12">
        <f>IFERROR((F15-D15)/D15,"")</f>
        <v/>
      </c>
      <c r="I15" s="13" t="inlineStr">
        <is>
          <t>Suspeita de abuso — IP em curso</t>
        </is>
      </c>
    </row>
    <row r="16">
      <c r="A16" s="19" t="inlineStr">
        <is>
          <t>Alimentação</t>
        </is>
      </c>
      <c r="B16" s="4" t="inlineStr">
        <is>
          <t>Supermercado / alimentação domiciliar</t>
        </is>
      </c>
      <c r="C16" s="10" t="n"/>
      <c r="D16" s="10">
        <f>IF(C16="","",C16*12)</f>
        <v/>
      </c>
      <c r="E16" s="10" t="n"/>
      <c r="F16" s="10">
        <f>IF(E16="","",E16*12)</f>
        <v/>
      </c>
      <c r="G16" s="10">
        <f>IFERROR(F16-D16,"")</f>
        <v/>
      </c>
      <c r="H16" s="12">
        <f>IFERROR((F16-D16)/D16,"")</f>
        <v/>
      </c>
      <c r="I16" s="13" t="inlineStr">
        <is>
          <t>—</t>
        </is>
      </c>
    </row>
    <row r="17">
      <c r="A17" s="19" t="inlineStr">
        <is>
          <t>Alimentação</t>
        </is>
      </c>
      <c r="B17" s="4" t="inlineStr">
        <is>
          <t>Refeições externas e delivery</t>
        </is>
      </c>
      <c r="C17" s="10" t="n"/>
      <c r="D17" s="10">
        <f>IF(C17="","",C17*12)</f>
        <v/>
      </c>
      <c r="E17" s="10" t="n"/>
      <c r="F17" s="10">
        <f>IF(E17="","",E17*12)</f>
        <v/>
      </c>
      <c r="G17" s="10">
        <f>IFERROR(F17-D17,"")</f>
        <v/>
      </c>
      <c r="H17" s="12">
        <f>IFERROR((F17-D17)/D17,"")</f>
        <v/>
      </c>
      <c r="I17" s="13" t="inlineStr">
        <is>
          <t>—</t>
        </is>
      </c>
    </row>
    <row r="18">
      <c r="A18" s="19" t="inlineStr">
        <is>
          <t>Transporte</t>
        </is>
      </c>
      <c r="B18" s="4" t="inlineStr">
        <is>
          <t>Combustível e estacionamento</t>
        </is>
      </c>
      <c r="C18" s="10" t="n"/>
      <c r="D18" s="10">
        <f>IF(C18="","",C18*12)</f>
        <v/>
      </c>
      <c r="E18" s="10" t="n"/>
      <c r="F18" s="10">
        <f>IF(E18="","",E18*12)</f>
        <v/>
      </c>
      <c r="G18" s="10">
        <f>IFERROR(F18-D18,"")</f>
        <v/>
      </c>
      <c r="H18" s="12">
        <f>IFERROR((F18-D18)/D18,"")</f>
        <v/>
      </c>
      <c r="I18" s="13" t="inlineStr">
        <is>
          <t>—</t>
        </is>
      </c>
    </row>
    <row r="19">
      <c r="A19" s="19" t="inlineStr">
        <is>
          <t>Transporte</t>
        </is>
      </c>
      <c r="B19" s="4" t="inlineStr">
        <is>
          <t>Aplicativos / táxi</t>
        </is>
      </c>
      <c r="C19" s="10" t="n"/>
      <c r="D19" s="10">
        <f>IF(C19="","",C19*12)</f>
        <v/>
      </c>
      <c r="E19" s="10" t="n"/>
      <c r="F19" s="10">
        <f>IF(E19="","",E19*12)</f>
        <v/>
      </c>
      <c r="G19" s="10">
        <f>IFERROR(F19-D19,"")</f>
        <v/>
      </c>
      <c r="H19" s="12">
        <f>IFERROR((F19-D19)/D19,"")</f>
        <v/>
      </c>
      <c r="I19" s="13" t="inlineStr">
        <is>
          <t>—</t>
        </is>
      </c>
    </row>
    <row r="20">
      <c r="A20" s="19" t="inlineStr">
        <is>
          <t>Transporte</t>
        </is>
      </c>
      <c r="B20" s="4" t="inlineStr">
        <is>
          <t>Manutenção veicular</t>
        </is>
      </c>
      <c r="C20" s="10" t="n"/>
      <c r="D20" s="10">
        <f>IF(C20="","",C20*12)</f>
        <v/>
      </c>
      <c r="E20" s="10" t="n"/>
      <c r="F20" s="10">
        <f>IF(E20="","",E20*12)</f>
        <v/>
      </c>
      <c r="G20" s="10">
        <f>IFERROR(F20-D20,"")</f>
        <v/>
      </c>
      <c r="H20" s="12">
        <f>IFERROR((F20-D20)/D20,"")</f>
        <v/>
      </c>
      <c r="I20" s="13" t="inlineStr">
        <is>
          <t>—</t>
        </is>
      </c>
    </row>
    <row r="21">
      <c r="A21" s="19" t="inlineStr">
        <is>
          <t>Vestuário</t>
        </is>
      </c>
      <c r="B21" s="4" t="inlineStr">
        <is>
          <t>Itens pessoais da requerente e dos filhos</t>
        </is>
      </c>
      <c r="C21" s="10" t="n"/>
      <c r="D21" s="10">
        <f>IF(C21="","",C21*12)</f>
        <v/>
      </c>
      <c r="E21" s="10" t="n"/>
      <c r="F21" s="10">
        <f>IF(E21="","",E21*12)</f>
        <v/>
      </c>
      <c r="G21" s="10">
        <f>IFERROR(F21-D21,"")</f>
        <v/>
      </c>
      <c r="H21" s="12">
        <f>IFERROR((F21-D21)/D21,"")</f>
        <v/>
      </c>
      <c r="I21" s="13" t="inlineStr">
        <is>
          <t>—</t>
        </is>
      </c>
    </row>
    <row r="22">
      <c r="A22" s="19" t="inlineStr">
        <is>
          <t>Lazer</t>
        </is>
      </c>
      <c r="B22" s="4" t="inlineStr">
        <is>
          <t>Lazer (parcimônia no contexto)</t>
        </is>
      </c>
      <c r="C22" s="10" t="n"/>
      <c r="D22" s="10">
        <f>IF(C22="","",C22*12)</f>
        <v/>
      </c>
      <c r="E22" s="10" t="n"/>
      <c r="F22" s="10">
        <f>IF(E22="","",E22*12)</f>
        <v/>
      </c>
      <c r="G22" s="10">
        <f>IFERROR(F22-D22,"")</f>
        <v/>
      </c>
      <c r="H22" s="12">
        <f>IFERROR((F22-D22)/D22,"")</f>
        <v/>
      </c>
      <c r="I22" s="13" t="inlineStr">
        <is>
          <t>Reflexo do quadro depressivo documentado</t>
        </is>
      </c>
    </row>
    <row r="23">
      <c r="B23" s="6" t="inlineStr">
        <is>
          <t>TOTAL DESPESAS OPERACIONAIS</t>
        </is>
      </c>
      <c r="C23" s="15">
        <f>SUM(C4:C22)</f>
        <v/>
      </c>
      <c r="D23" s="15">
        <f>SUM(D4:D22)</f>
        <v/>
      </c>
      <c r="E23" s="15">
        <f>SUM(E4:E22)</f>
        <v/>
      </c>
      <c r="F23" s="15">
        <f>SUM(F4:F22)</f>
        <v/>
      </c>
      <c r="G23" s="15">
        <f>SUM(G4:G22)</f>
        <v/>
      </c>
      <c r="H23" s="17">
        <f>IFERROR((F23-D23)/D23,"")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4" customWidth="1" min="4" max="4"/>
    <col width="14" customWidth="1" min="5" max="5"/>
    <col width="9" customWidth="1" min="6" max="6"/>
    <col width="22" customWidth="1" min="7" max="7"/>
    <col width="28" customWidth="1" min="8" max="8"/>
  </cols>
  <sheetData>
    <row r="1">
      <c r="A1" s="7" t="inlineStr">
        <is>
          <t>DESPESAS LEGAIS E FORENSES · CUSTO DA LITIGÂNCIA · 2023 × 2026</t>
        </is>
      </c>
    </row>
    <row r="3" ht="30" customHeight="1">
      <c r="A3" s="8" t="inlineStr">
        <is>
          <t>Categoria</t>
        </is>
      </c>
      <c r="B3" s="8" t="inlineStr">
        <is>
          <t>Item / contraparte</t>
        </is>
      </c>
      <c r="C3" s="8" t="inlineStr">
        <is>
          <t>2023 (R$)</t>
        </is>
      </c>
      <c r="D3" s="8" t="inlineStr">
        <is>
          <t>2026 (R$)</t>
        </is>
      </c>
      <c r="E3" s="8" t="inlineStr">
        <is>
          <t>Acumulado</t>
        </is>
      </c>
      <c r="F3" s="8" t="inlineStr">
        <is>
          <t>Δ %</t>
        </is>
      </c>
      <c r="G3" s="8" t="inlineStr">
        <is>
          <t>Documentação</t>
        </is>
      </c>
      <c r="H3" s="8" t="inlineStr">
        <is>
          <t>Observação</t>
        </is>
      </c>
    </row>
    <row r="4">
      <c r="A4" s="19" t="inlineStr">
        <is>
          <t>Honorários</t>
        </is>
      </c>
      <c r="B4" s="4" t="inlineStr">
        <is>
          <t>Patrona anterior (renunciou 15/05/2026)</t>
        </is>
      </c>
      <c r="C4" s="10" t="n"/>
      <c r="D4" s="10" t="n"/>
      <c r="E4" s="10">
        <f>IFERROR(C4+D4,"")</f>
        <v/>
      </c>
      <c r="F4" s="12">
        <f>IFERROR((D4-C4)/C4,"")</f>
        <v/>
      </c>
      <c r="G4" s="13" t="inlineStr">
        <is>
          <t>contrato</t>
        </is>
      </c>
      <c r="H4" s="13" t="inlineStr">
        <is>
          <t>Doc 11: 15 processos críticos em curso</t>
        </is>
      </c>
    </row>
    <row r="5">
      <c r="A5" s="19" t="inlineStr">
        <is>
          <t>Honorários</t>
        </is>
      </c>
      <c r="B5" s="4" t="inlineStr">
        <is>
          <t>Banca atual — Dra. Michele Hilgenberg</t>
        </is>
      </c>
      <c r="C5" s="10" t="n"/>
      <c r="D5" s="10" t="n"/>
      <c r="E5" s="10">
        <f>IFERROR(C5+D5,"")</f>
        <v/>
      </c>
      <c r="F5" s="12">
        <f>IFERROR((D5-C5)/C5,"")</f>
        <v/>
      </c>
      <c r="G5" s="13" t="inlineStr">
        <is>
          <t>contrato vigente</t>
        </is>
      </c>
      <c r="H5" s="13" t="inlineStr">
        <is>
          <t>—</t>
        </is>
      </c>
    </row>
    <row r="6">
      <c r="A6" s="19" t="inlineStr">
        <is>
          <t>Honorários</t>
        </is>
      </c>
      <c r="B6" s="4" t="inlineStr">
        <is>
          <t>Banca atual — Dr. Luiz Carlos Guieseler Junior</t>
        </is>
      </c>
      <c r="C6" s="10" t="n"/>
      <c r="D6" s="10" t="n"/>
      <c r="E6" s="10">
        <f>IFERROR(C6+D6,"")</f>
        <v/>
      </c>
      <c r="F6" s="12">
        <f>IFERROR((D6-C6)/C6,"")</f>
        <v/>
      </c>
      <c r="G6" s="13" t="inlineStr">
        <is>
          <t>contrato vigente</t>
        </is>
      </c>
      <c r="H6" s="13" t="inlineStr">
        <is>
          <t>—</t>
        </is>
      </c>
    </row>
    <row r="7">
      <c r="A7" s="19" t="inlineStr">
        <is>
          <t>Honorários</t>
        </is>
      </c>
      <c r="B7" s="4" t="inlineStr">
        <is>
          <t>Orçamentos avaliados de bancas sucessoras</t>
        </is>
      </c>
      <c r="C7" s="10" t="n"/>
      <c r="D7" s="10" t="n"/>
      <c r="E7" s="10">
        <f>IFERROR(C7+D7,"")</f>
        <v/>
      </c>
      <c r="F7" s="12">
        <f>IFERROR((D7-C7)/C7,"")</f>
        <v/>
      </c>
      <c r="G7" s="13" t="inlineStr">
        <is>
          <t>Doc 11 — abusivos</t>
        </is>
      </c>
      <c r="H7" s="13" t="inlineStr">
        <is>
          <t>Vetor de captura econômica</t>
        </is>
      </c>
    </row>
    <row r="8">
      <c r="A8" s="19" t="inlineStr">
        <is>
          <t>Perícias</t>
        </is>
      </c>
      <c r="B8" s="4" t="inlineStr">
        <is>
          <t>Perícia contábil-forense (preparação)</t>
        </is>
      </c>
      <c r="C8" s="10" t="n"/>
      <c r="D8" s="10" t="n"/>
      <c r="E8" s="10">
        <f>IFERROR(C8+D8,"")</f>
        <v/>
      </c>
      <c r="F8" s="12">
        <f>IFERROR((D8-C8)/C8,"")</f>
        <v/>
      </c>
      <c r="G8" s="13" t="inlineStr">
        <is>
          <t>NFs</t>
        </is>
      </c>
      <c r="H8" s="13" t="inlineStr">
        <is>
          <t>—</t>
        </is>
      </c>
    </row>
    <row r="9">
      <c r="A9" s="19" t="inlineStr">
        <is>
          <t>Perícias</t>
        </is>
      </c>
      <c r="B9" s="4" t="inlineStr">
        <is>
          <t>Perícia grafotécnica</t>
        </is>
      </c>
      <c r="C9" s="10" t="n"/>
      <c r="D9" s="10" t="n"/>
      <c r="E9" s="10">
        <f>IFERROR(C9+D9,"")</f>
        <v/>
      </c>
      <c r="F9" s="12">
        <f>IFERROR((D9-C9)/C9,"")</f>
        <v/>
      </c>
      <c r="G9" s="13" t="inlineStr">
        <is>
          <t>—</t>
        </is>
      </c>
      <c r="H9" s="13" t="inlineStr">
        <is>
          <t>—</t>
        </is>
      </c>
    </row>
    <row r="10">
      <c r="A10" s="19" t="inlineStr">
        <is>
          <t>Perícias</t>
        </is>
      </c>
      <c r="B10" s="4" t="inlineStr">
        <is>
          <t>Atestado psiquiátrico Dr. Ivan Rodrigues</t>
        </is>
      </c>
      <c r="C10" s="10" t="n"/>
      <c r="D10" s="10" t="n"/>
      <c r="E10" s="10">
        <f>IFERROR(C10+D10,"")</f>
        <v/>
      </c>
      <c r="F10" s="12">
        <f>IFERROR((D10-C10)/C10,"")</f>
        <v/>
      </c>
      <c r="G10" s="13" t="inlineStr">
        <is>
          <t>atestado 05/05/2026</t>
        </is>
      </c>
      <c r="H10" s="13" t="inlineStr">
        <is>
          <t>Nexo causal documentado</t>
        </is>
      </c>
    </row>
    <row r="11">
      <c r="A11" s="19" t="inlineStr">
        <is>
          <t>Pareceres</t>
        </is>
      </c>
      <c r="B11" s="4" t="inlineStr">
        <is>
          <t>Pareceres jurídicos especializados</t>
        </is>
      </c>
      <c r="C11" s="10" t="n"/>
      <c r="D11" s="10" t="n"/>
      <c r="E11" s="10">
        <f>IFERROR(C11+D11,"")</f>
        <v/>
      </c>
      <c r="F11" s="12">
        <f>IFERROR((D11-C11)/C11,"")</f>
        <v/>
      </c>
      <c r="G11" s="13" t="inlineStr">
        <is>
          <t>NFs</t>
        </is>
      </c>
      <c r="H11" s="13" t="inlineStr">
        <is>
          <t>—</t>
        </is>
      </c>
    </row>
    <row r="12">
      <c r="A12" s="19" t="inlineStr">
        <is>
          <t>Pareceres</t>
        </is>
      </c>
      <c r="B12" s="4" t="inlineStr">
        <is>
          <t>Pareceres contábeis e M&amp;A</t>
        </is>
      </c>
      <c r="C12" s="10" t="n"/>
      <c r="D12" s="10" t="n"/>
      <c r="E12" s="10">
        <f>IFERROR(C12+D12,"")</f>
        <v/>
      </c>
      <c r="F12" s="12">
        <f>IFERROR((D12-C12)/C12,"")</f>
        <v/>
      </c>
      <c r="G12" s="13" t="inlineStr">
        <is>
          <t>NFs</t>
        </is>
      </c>
      <c r="H12" s="13" t="inlineStr">
        <is>
          <t>Subsídio Docs 22 · 23 · 41</t>
        </is>
      </c>
    </row>
    <row r="13">
      <c r="A13" s="19" t="inlineStr">
        <is>
          <t>Custas</t>
        </is>
      </c>
      <c r="B13" s="4" t="inlineStr">
        <is>
          <t>Custas iniciais e intermediárias</t>
        </is>
      </c>
      <c r="C13" s="10" t="n"/>
      <c r="D13" s="10" t="n"/>
      <c r="E13" s="10">
        <f>IFERROR(C13+D13,"")</f>
        <v/>
      </c>
      <c r="F13" s="12">
        <f>IFERROR((D13-C13)/C13,"")</f>
        <v/>
      </c>
      <c r="G13" s="13" t="inlineStr">
        <is>
          <t>guias</t>
        </is>
      </c>
      <c r="H13" s="13" t="inlineStr">
        <is>
          <t>—</t>
        </is>
      </c>
    </row>
    <row r="14">
      <c r="A14" s="19" t="inlineStr">
        <is>
          <t>Custas</t>
        </is>
      </c>
      <c r="B14" s="4" t="inlineStr">
        <is>
          <t>Despesas com perícias judiciais oficiais</t>
        </is>
      </c>
      <c r="C14" s="10" t="n"/>
      <c r="D14" s="10" t="n"/>
      <c r="E14" s="10">
        <f>IFERROR(C14+D14,"")</f>
        <v/>
      </c>
      <c r="F14" s="12">
        <f>IFERROR((D14-C14)/C14,"")</f>
        <v/>
      </c>
      <c r="G14" s="13" t="inlineStr">
        <is>
          <t>—</t>
        </is>
      </c>
      <c r="H14" s="13" t="inlineStr">
        <is>
          <t>Perícia psicossocial (Doc 11 III.3)</t>
        </is>
      </c>
    </row>
    <row r="15">
      <c r="A15" s="19" t="inlineStr">
        <is>
          <t>Outros</t>
        </is>
      </c>
      <c r="B15" s="4" t="inlineStr">
        <is>
          <t>Cópias autenticadas · diligências · cartório</t>
        </is>
      </c>
      <c r="C15" s="10" t="n"/>
      <c r="D15" s="10" t="n"/>
      <c r="E15" s="10">
        <f>IFERROR(C15+D15,"")</f>
        <v/>
      </c>
      <c r="F15" s="12">
        <f>IFERROR((D15-C15)/C15,"")</f>
        <v/>
      </c>
      <c r="G15" s="13" t="inlineStr">
        <is>
          <t>—</t>
        </is>
      </c>
      <c r="H15" s="13" t="inlineStr">
        <is>
          <t>—</t>
        </is>
      </c>
    </row>
    <row r="16">
      <c r="A16" s="19" t="inlineStr">
        <is>
          <t>Outros</t>
        </is>
      </c>
      <c r="B16" s="4" t="inlineStr">
        <is>
          <t>Deslocamento à comarca</t>
        </is>
      </c>
      <c r="C16" s="10" t="n"/>
      <c r="D16" s="10" t="n"/>
      <c r="E16" s="10">
        <f>IFERROR(C16+D16,"")</f>
        <v/>
      </c>
      <c r="F16" s="12">
        <f>IFERROR((D16-C16)/C16,"")</f>
        <v/>
      </c>
      <c r="G16" s="13" t="inlineStr">
        <is>
          <t>—</t>
        </is>
      </c>
      <c r="H16" s="13" t="inlineStr">
        <is>
          <t>—</t>
        </is>
      </c>
    </row>
    <row r="17">
      <c r="B17" s="6" t="inlineStr">
        <is>
          <t>TOTAL ACUMULADO 2023-2026 (referência Doc 11)</t>
        </is>
      </c>
      <c r="E17" s="15" t="n">
        <v>1000000</v>
      </c>
      <c r="H17" s="18" t="inlineStr">
        <is>
          <t>Estimativa Doc 11 (≈ R$ 1 MM) — a confirmar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3" customWidth="1" min="3" max="3"/>
    <col width="13" customWidth="1" min="4" max="4"/>
    <col width="13" customWidth="1" min="5" max="5"/>
    <col width="14" customWidth="1" min="6" max="6"/>
    <col width="20" customWidth="1" min="7" max="7"/>
    <col width="32" customWidth="1" min="8" max="8"/>
  </cols>
  <sheetData>
    <row r="1">
      <c r="A1" s="26" t="inlineStr">
        <is>
          <t>DESPESAS DECORRENTES DA SITUAÇÃO DE VIOLÊNCIA · LMP art. 7º, IV</t>
        </is>
      </c>
    </row>
    <row r="3" ht="30" customHeight="1">
      <c r="A3" s="8" t="inlineStr">
        <is>
          <t>Tipo</t>
        </is>
      </c>
      <c r="B3" s="8" t="inlineStr">
        <is>
          <t>Item</t>
        </is>
      </c>
      <c r="C3" s="8" t="inlineStr">
        <is>
          <t>2023 mensal</t>
        </is>
      </c>
      <c r="D3" s="8" t="inlineStr">
        <is>
          <t>2026 mensal</t>
        </is>
      </c>
      <c r="E3" s="8" t="inlineStr">
        <is>
          <t>2026 anual</t>
        </is>
      </c>
      <c r="F3" s="8" t="inlineStr">
        <is>
          <t>Acumulado</t>
        </is>
      </c>
      <c r="G3" s="8" t="inlineStr">
        <is>
          <t>CID-10 / ref.</t>
        </is>
      </c>
      <c r="H3" s="8" t="inlineStr">
        <is>
          <t>Nexo causal</t>
        </is>
      </c>
    </row>
    <row r="4">
      <c r="A4" s="19" t="inlineStr">
        <is>
          <t>Psiquiátrico</t>
        </is>
      </c>
      <c r="B4" s="4" t="inlineStr">
        <is>
          <t>Consulta Dr. Ivan Rodrigues (CRM-SP 162488 · RQE 87014)</t>
        </is>
      </c>
      <c r="C4" s="10" t="n"/>
      <c r="D4" s="10" t="n"/>
      <c r="E4" s="10">
        <f>IF(D4="","",D4*12)</f>
        <v/>
      </c>
      <c r="F4" s="10">
        <f>IFERROR(C4*12+E4,"")</f>
        <v/>
      </c>
      <c r="G4" s="13" t="inlineStr">
        <is>
          <t>F33 (TDM) + F90</t>
        </is>
      </c>
      <c r="H4" s="13" t="inlineStr">
        <is>
          <t>Nexo causal expresso · atestado 05/05/2026</t>
        </is>
      </c>
    </row>
    <row r="5">
      <c r="A5" s="19" t="inlineStr">
        <is>
          <t>Psiquiátrico</t>
        </is>
      </c>
      <c r="B5" s="4" t="inlineStr">
        <is>
          <t>Medicação (antidepressivos · estabilizadores)</t>
        </is>
      </c>
      <c r="C5" s="10" t="n"/>
      <c r="D5" s="10" t="n"/>
      <c r="E5" s="10">
        <f>IF(D5="","",D5*12)</f>
        <v/>
      </c>
      <c r="F5" s="10">
        <f>IFERROR(C5*12+E5,"")</f>
        <v/>
      </c>
      <c r="G5" s="13" t="inlineStr">
        <is>
          <t>F33 (TDM)</t>
        </is>
      </c>
      <c r="H5" s="13" t="inlineStr">
        <is>
          <t>Sem remissão clínica em razão da continuidade da violência</t>
        </is>
      </c>
    </row>
    <row r="6">
      <c r="A6" s="19" t="inlineStr">
        <is>
          <t>Psiquiátrico</t>
        </is>
      </c>
      <c r="B6" s="4" t="inlineStr">
        <is>
          <t>Comorbidades musculoesqueléticas (M51.1 · S83.5)</t>
        </is>
      </c>
      <c r="C6" s="10" t="n"/>
      <c r="D6" s="10" t="n"/>
      <c r="E6" s="10">
        <f>IF(D6="","",D6*12)</f>
        <v/>
      </c>
      <c r="F6" s="10">
        <f>IFERROR(C6*12+E6,"")</f>
        <v/>
      </c>
      <c r="G6" s="13" t="inlineStr">
        <is>
          <t>M51.1 / S83.5</t>
        </is>
      </c>
      <c r="H6" s="13" t="inlineStr">
        <is>
          <t>Atestado integra-as ao quadro</t>
        </is>
      </c>
    </row>
    <row r="7">
      <c r="A7" s="19" t="inlineStr">
        <is>
          <t>Psicológico</t>
        </is>
      </c>
      <c r="B7" s="4" t="inlineStr">
        <is>
          <t>Psicoterapia individual</t>
        </is>
      </c>
      <c r="C7" s="10" t="n"/>
      <c r="D7" s="10" t="n"/>
      <c r="E7" s="10">
        <f>IF(D7="","",D7*12)</f>
        <v/>
      </c>
      <c r="F7" s="10">
        <f>IFERROR(C7*12+E7,"")</f>
        <v/>
      </c>
      <c r="G7" s="13" t="inlineStr">
        <is>
          <t>—</t>
        </is>
      </c>
      <c r="H7" s="13" t="inlineStr">
        <is>
          <t>—</t>
        </is>
      </c>
    </row>
    <row r="8">
      <c r="A8" s="19" t="inlineStr">
        <is>
          <t>Psicossocial</t>
        </is>
      </c>
      <c r="B8" s="4" t="inlineStr">
        <is>
          <t>Acompanhamento para vítima de violência patrimonial estruturada</t>
        </is>
      </c>
      <c r="C8" s="10" t="n"/>
      <c r="D8" s="10" t="n"/>
      <c r="E8" s="10">
        <f>IF(D8="","",D8*12)</f>
        <v/>
      </c>
      <c r="F8" s="10">
        <f>IFERROR(C8*12+E8,"")</f>
        <v/>
      </c>
      <c r="G8" s="13" t="inlineStr">
        <is>
          <t>Doc 11 VII.B.4</t>
        </is>
      </c>
      <c r="H8" s="13" t="inlineStr">
        <is>
          <t>Programa de proteção integral à mulher</t>
        </is>
      </c>
    </row>
    <row r="9">
      <c r="A9" s="19" t="inlineStr">
        <is>
          <t>Psicossocial filhos</t>
        </is>
      </c>
      <c r="B9" s="4" t="inlineStr">
        <is>
          <t>Acompanhamento dos menores — suspeita de abuso</t>
        </is>
      </c>
      <c r="C9" s="10" t="n"/>
      <c r="D9" s="10" t="n"/>
      <c r="E9" s="10">
        <f>IF(D9="","",D9*12)</f>
        <v/>
      </c>
      <c r="F9" s="10">
        <f>IFERROR(C9*12+E9,"")</f>
        <v/>
      </c>
      <c r="G9" s="13" t="inlineStr">
        <is>
          <t>—</t>
        </is>
      </c>
      <c r="H9" s="13" t="inlineStr">
        <is>
          <t>Lei 13.431/2017 + 14.344/2022 — Henry Borel</t>
        </is>
      </c>
    </row>
    <row r="10">
      <c r="A10" s="19" t="inlineStr">
        <is>
          <t>Plano de saúde</t>
        </is>
      </c>
      <c r="B10" s="4" t="inlineStr">
        <is>
          <t>Plano restabelecido (próprio + filhos)</t>
        </is>
      </c>
      <c r="C10" s="10" t="n"/>
      <c r="D10" s="10" t="n"/>
      <c r="E10" s="10">
        <f>IF(D10="","",D10*12)</f>
        <v/>
      </c>
      <c r="F10" s="10">
        <f>IFERROR(C10*12+E10,"")</f>
        <v/>
      </c>
      <c r="G10" s="13" t="inlineStr">
        <is>
          <t>—</t>
        </is>
      </c>
      <c r="H10" s="13" t="inlineStr">
        <is>
          <t>Proc. 1001019-83.2026 + Doc 11 VII.B.5</t>
        </is>
      </c>
    </row>
    <row r="11">
      <c r="A11" s="19" t="inlineStr">
        <is>
          <t>Exames</t>
        </is>
      </c>
      <c r="B11" s="4" t="inlineStr">
        <is>
          <t>Exames diagnósticos relacionados ao quadro</t>
        </is>
      </c>
      <c r="C11" s="10" t="n"/>
      <c r="D11" s="10" t="n"/>
      <c r="E11" s="10">
        <f>IF(D11="","",D11*12)</f>
        <v/>
      </c>
      <c r="F11" s="10">
        <f>IFERROR(C11*12+E11,"")</f>
        <v/>
      </c>
      <c r="G11" s="13" t="inlineStr">
        <is>
          <t>—</t>
        </is>
      </c>
      <c r="H11" s="13" t="inlineStr">
        <is>
          <t>—</t>
        </is>
      </c>
    </row>
    <row r="12">
      <c r="A12" s="19" t="inlineStr">
        <is>
          <t>Proteção</t>
        </is>
      </c>
      <c r="B12" s="4" t="inlineStr">
        <is>
          <t>Alteração de fechaduras · segurança · telecomunicações</t>
        </is>
      </c>
      <c r="C12" s="10" t="n"/>
      <c r="D12" s="10" t="n"/>
      <c r="E12" s="10">
        <f>IF(D12="","",D12*12)</f>
        <v/>
      </c>
      <c r="F12" s="10">
        <f>IFERROR(C12*12+E12,"")</f>
        <v/>
      </c>
      <c r="G12" s="13" t="inlineStr">
        <is>
          <t>—</t>
        </is>
      </c>
      <c r="H12" s="13" t="inlineStr">
        <is>
          <t>Violência doméstica preexistente</t>
        </is>
      </c>
    </row>
    <row r="13">
      <c r="B13" s="23" t="inlineStr">
        <is>
          <t>TOTAL DESPESAS DA VIOLÊNCIA</t>
        </is>
      </c>
      <c r="C13" s="24">
        <f>SUM(C4:C12)</f>
        <v/>
      </c>
      <c r="D13" s="24">
        <f>SUM(D4:D12)</f>
        <v/>
      </c>
      <c r="E13" s="24">
        <f>SUM(E4:E12)</f>
        <v/>
      </c>
      <c r="F13" s="24">
        <f>SUM(F4:F12)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16" customWidth="1" min="4" max="4"/>
    <col width="56" customWidth="1" min="5" max="5"/>
  </cols>
  <sheetData>
    <row r="1">
      <c r="A1" s="7" t="inlineStr">
        <is>
          <t>INDICADORES FORENSES CONSOLIDADOS</t>
        </is>
      </c>
    </row>
    <row r="3" ht="30" customHeight="1">
      <c r="A3" s="8" t="inlineStr">
        <is>
          <t>#</t>
        </is>
      </c>
      <c r="B3" s="8" t="inlineStr">
        <is>
          <t>Indicador</t>
        </is>
      </c>
      <c r="C3" s="8" t="inlineStr">
        <is>
          <t>2023</t>
        </is>
      </c>
      <c r="D3" s="8" t="inlineStr">
        <is>
          <t>2026</t>
        </is>
      </c>
      <c r="E3" s="8" t="inlineStr">
        <is>
          <t>Significado forense</t>
        </is>
      </c>
    </row>
    <row r="4" ht="38" customHeight="1">
      <c r="A4" s="19" t="n">
        <v>1</v>
      </c>
      <c r="B4" s="4" t="inlineStr">
        <is>
          <t>Custo total da litigância (acumulado desde 10/01/2023)</t>
        </is>
      </c>
      <c r="C4" s="10" t="n"/>
      <c r="D4" s="10" t="n"/>
      <c r="E4" s="13" t="inlineStr">
        <is>
          <t>Doc 11 estima ≈ R$ 1.000.000 em defesa, perícias e despesas médicas decorrentes do litígio.</t>
        </is>
      </c>
    </row>
    <row r="5" ht="38" customHeight="1">
      <c r="A5" s="19" t="n">
        <v>2</v>
      </c>
      <c r="B5" s="4" t="inlineStr">
        <is>
          <t>Ratio de erosão patrimonial (Δ PL ÷ PL inicial)</t>
        </is>
      </c>
      <c r="C5" s="10" t="n"/>
      <c r="D5" s="10" t="n"/>
      <c r="E5" s="13" t="inlineStr">
        <is>
          <t>Fração do PL inicial consumida pela litigância. Ratio ≥ 50% configura vetor agudo de violência patrimonial (LMP art. 7º, IV).</t>
        </is>
      </c>
    </row>
    <row r="6" ht="38" customHeight="1">
      <c r="A6" s="19" t="n">
        <v>3</v>
      </c>
      <c r="B6" s="4" t="inlineStr">
        <is>
          <t>Proporcionalidade pensão × custo real dos menores</t>
        </is>
      </c>
      <c r="C6" s="10" t="n"/>
      <c r="D6" s="10" t="n"/>
      <c r="E6" s="13" t="inlineStr">
        <is>
          <t>Pensão formal frente ao custo efetivamente apurado (educação + saúde + alimentação + psicoterapia).</t>
        </is>
      </c>
    </row>
    <row r="7" ht="38" customHeight="1">
      <c r="A7" s="19" t="n">
        <v>4</v>
      </c>
      <c r="B7" s="4" t="inlineStr">
        <is>
          <t>Cobertura saúde — meses interrompidos × meses totais</t>
        </is>
      </c>
      <c r="C7" s="10" t="n"/>
      <c r="D7" s="10" t="n"/>
      <c r="E7" s="13" t="inlineStr">
        <is>
          <t>Período em que o plano esteve obstruído. Subsidia Proc. 1001019-83.2026.</t>
        </is>
      </c>
    </row>
    <row r="8" ht="38" customHeight="1">
      <c r="A8" s="19" t="n">
        <v>5</v>
      </c>
      <c r="B8" s="4" t="inlineStr">
        <is>
          <t>Custo cumulado das comorbidades (CID-10 F33+F90+M51.1+S83.5)</t>
        </is>
      </c>
      <c r="C8" s="10" t="n"/>
      <c r="D8" s="10" t="n"/>
      <c r="E8" s="13" t="inlineStr">
        <is>
          <t>Cifra-anchor para fixar nexo causal entre privação financeira e descompensação clínica.</t>
        </is>
      </c>
    </row>
    <row r="9" ht="38" customHeight="1">
      <c r="A9" s="19" t="n">
        <v>6</v>
      </c>
      <c r="B9" s="4" t="inlineStr">
        <is>
          <t>Endividamento induzido (Δ passivo ÷ Δ ativos)</t>
        </is>
      </c>
      <c r="C9" s="10" t="n"/>
      <c r="D9" s="10" t="n"/>
      <c r="E9" s="13" t="inlineStr">
        <is>
          <t>Quanto da queda de ativos foi compensada por endividamento — subsistência forçada.</t>
        </is>
      </c>
    </row>
    <row r="10" ht="38" customHeight="1">
      <c r="A10" s="19" t="n">
        <v>7</v>
      </c>
      <c r="B10" s="4" t="inlineStr">
        <is>
          <t>Pensão real × salário-mínimo regional × custo médio de vida apurado</t>
        </is>
      </c>
      <c r="C10" s="10" t="n"/>
      <c r="D10" s="10" t="n"/>
      <c r="E10" s="13" t="inlineStr">
        <is>
          <t>Subsídio à revisão de pensão e medidas protetivas patrimoniais (LMP 22-A · Lei 14.550/2023).</t>
        </is>
      </c>
    </row>
    <row r="11" ht="38" customHeight="1">
      <c r="A11" s="19" t="n">
        <v>8</v>
      </c>
      <c r="B11" s="4" t="inlineStr">
        <is>
          <t>Custo de defesa por processo crítico (15 processos)</t>
        </is>
      </c>
      <c r="C11" s="10" t="n"/>
      <c r="D11" s="10" t="n"/>
      <c r="E11" s="13" t="inlineStr">
        <is>
          <t>Mede o impacto da multiplicação artificial de demandas — lawfare familiar (CPC 142 + 966 III).</t>
        </is>
      </c>
    </row>
    <row r="12" ht="38" customHeight="1">
      <c r="A12" s="19" t="n">
        <v>9</v>
      </c>
      <c r="B12" s="4" t="inlineStr">
        <is>
          <t>Gastos médicos por mês desde a renúncia da patrona (15/05/2026)</t>
        </is>
      </c>
      <c r="C12" s="10" t="n"/>
      <c r="D12" s="10" t="n"/>
      <c r="E12" s="13" t="inlineStr">
        <is>
          <t>Janela específica de agravamento — atestado aponta sem remissão clínica.</t>
        </is>
      </c>
    </row>
    <row r="13" ht="38" customHeight="1">
      <c r="A13" s="19" t="n">
        <v>10</v>
      </c>
      <c r="B13" s="4" t="inlineStr">
        <is>
          <t>Diferença entre rendimento líquido 2023 × 2026</t>
        </is>
      </c>
      <c r="C13" s="10" t="n"/>
      <c r="D13" s="10" t="n"/>
      <c r="E13" s="13" t="inlineStr">
        <is>
          <t>Indicador-resumo da posição econômica em duas janelas.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8" customWidth="1" min="3" max="3"/>
    <col width="18" customWidth="1" min="4" max="4"/>
    <col width="28" customWidth="1" min="5" max="5"/>
    <col width="18" customWidth="1" min="6" max="6"/>
  </cols>
  <sheetData>
    <row r="1">
      <c r="A1" s="7" t="inlineStr">
        <is>
          <t>CADEIA DE CUSTÓDIA DOCUMENTAL — REFERÊNCIA CRUZADA</t>
        </is>
      </c>
    </row>
    <row r="3" ht="30" customHeight="1">
      <c r="A3" s="8" t="inlineStr">
        <is>
          <t>#</t>
        </is>
      </c>
      <c r="B3" s="8" t="inlineStr">
        <is>
          <t>Item documental</t>
        </is>
      </c>
      <c r="C3" s="8" t="inlineStr">
        <is>
          <t>Período</t>
        </is>
      </c>
      <c r="D3" s="8" t="inlineStr">
        <is>
          <t>Forma</t>
        </is>
      </c>
      <c r="E3" s="8" t="inlineStr">
        <is>
          <t>Local de juntada (aba)</t>
        </is>
      </c>
      <c r="F3" s="8" t="inlineStr">
        <is>
          <t>Status</t>
        </is>
      </c>
    </row>
    <row r="4">
      <c r="A4" s="19" t="inlineStr">
        <is>
          <t>01</t>
        </is>
      </c>
      <c r="B4" s="9" t="inlineStr">
        <is>
          <t>Extratos bancários — conta principal</t>
        </is>
      </c>
      <c r="C4" s="9" t="inlineStr">
        <is>
          <t>01/2023 a 12/2023</t>
        </is>
      </c>
      <c r="D4" s="9" t="inlineStr">
        <is>
          <t>PDF eSAJ</t>
        </is>
      </c>
      <c r="E4" s="9" t="inlineStr">
        <is>
          <t>Aba 02 · Aba 04</t>
        </is>
      </c>
      <c r="F4" s="18" t="inlineStr">
        <is>
          <t>a juntar</t>
        </is>
      </c>
    </row>
    <row r="5">
      <c r="A5" s="19" t="inlineStr">
        <is>
          <t>02</t>
        </is>
      </c>
      <c r="B5" s="9" t="inlineStr">
        <is>
          <t>Extratos bancários — conta principal</t>
        </is>
      </c>
      <c r="C5" s="9" t="inlineStr">
        <is>
          <t>01/2026 em diante</t>
        </is>
      </c>
      <c r="D5" s="9" t="inlineStr">
        <is>
          <t>PDF eSAJ</t>
        </is>
      </c>
      <c r="E5" s="9" t="inlineStr">
        <is>
          <t>Aba 02 · Aba 04</t>
        </is>
      </c>
      <c r="F5" s="18" t="inlineStr">
        <is>
          <t>a juntar</t>
        </is>
      </c>
    </row>
    <row r="6">
      <c r="A6" s="19" t="inlineStr">
        <is>
          <t>03</t>
        </is>
      </c>
      <c r="B6" s="9" t="inlineStr">
        <is>
          <t>Faturas de cartão de crédito</t>
        </is>
      </c>
      <c r="C6" s="9" t="inlineStr">
        <is>
          <t>01/2023 a 12/2023</t>
        </is>
      </c>
      <c r="D6" s="9" t="inlineStr">
        <is>
          <t>PDF</t>
        </is>
      </c>
      <c r="E6" s="9" t="inlineStr">
        <is>
          <t>Aba 02 · Aba 04</t>
        </is>
      </c>
      <c r="F6" s="18" t="inlineStr">
        <is>
          <t>a juntar</t>
        </is>
      </c>
    </row>
    <row r="7">
      <c r="A7" s="19" t="inlineStr">
        <is>
          <t>04</t>
        </is>
      </c>
      <c r="B7" s="9" t="inlineStr">
        <is>
          <t>Faturas de cartão de crédito</t>
        </is>
      </c>
      <c r="C7" s="9" t="inlineStr">
        <is>
          <t>01/2026 em diante</t>
        </is>
      </c>
      <c r="D7" s="9" t="inlineStr">
        <is>
          <t>PDF</t>
        </is>
      </c>
      <c r="E7" s="9" t="inlineStr">
        <is>
          <t>Aba 02 · Aba 04</t>
        </is>
      </c>
      <c r="F7" s="18" t="inlineStr">
        <is>
          <t>a juntar</t>
        </is>
      </c>
    </row>
    <row r="8">
      <c r="A8" s="19" t="inlineStr">
        <is>
          <t>05</t>
        </is>
      </c>
      <c r="B8" s="9" t="inlineStr">
        <is>
          <t>DIRPF 2023 (ano-base 2022) e 2024 (ano-base 2023)</t>
        </is>
      </c>
      <c r="C8" s="9" t="inlineStr">
        <is>
          <t>anual</t>
        </is>
      </c>
      <c r="D8" s="9" t="inlineStr">
        <is>
          <t>PDF RFB</t>
        </is>
      </c>
      <c r="E8" s="9" t="inlineStr">
        <is>
          <t>Aba 03 · Aba 04</t>
        </is>
      </c>
      <c r="F8" s="18" t="inlineStr">
        <is>
          <t>a juntar</t>
        </is>
      </c>
    </row>
    <row r="9">
      <c r="A9" s="19" t="inlineStr">
        <is>
          <t>06</t>
        </is>
      </c>
      <c r="B9" s="9" t="inlineStr">
        <is>
          <t>DIRPF 2025 e 2026 (ano-base 2025)</t>
        </is>
      </c>
      <c r="C9" s="9" t="inlineStr">
        <is>
          <t>anual</t>
        </is>
      </c>
      <c r="D9" s="9" t="inlineStr">
        <is>
          <t>PDF RFB</t>
        </is>
      </c>
      <c r="E9" s="9" t="inlineStr">
        <is>
          <t>Aba 03 · Aba 04</t>
        </is>
      </c>
      <c r="F9" s="18" t="inlineStr">
        <is>
          <t>a juntar</t>
        </is>
      </c>
    </row>
    <row r="10">
      <c r="A10" s="19" t="inlineStr">
        <is>
          <t>07</t>
        </is>
      </c>
      <c r="B10" s="9" t="inlineStr">
        <is>
          <t>Holerites / recibos de remuneração</t>
        </is>
      </c>
      <c r="C10" s="9" t="inlineStr">
        <is>
          <t>mensal 2023 e 2026</t>
        </is>
      </c>
      <c r="D10" s="9" t="inlineStr">
        <is>
          <t>PDF</t>
        </is>
      </c>
      <c r="E10" s="9" t="inlineStr">
        <is>
          <t>Aba 03</t>
        </is>
      </c>
      <c r="F10" s="18" t="inlineStr">
        <is>
          <t>a juntar</t>
        </is>
      </c>
    </row>
    <row r="11">
      <c r="A11" s="19" t="inlineStr">
        <is>
          <t>08</t>
        </is>
      </c>
      <c r="B11" s="9" t="inlineStr">
        <is>
          <t>Comprovantes de pensão recebida</t>
        </is>
      </c>
      <c r="C11" s="9" t="inlineStr">
        <is>
          <t>mensal</t>
        </is>
      </c>
      <c r="D11" s="9" t="inlineStr">
        <is>
          <t>extratos / recibos</t>
        </is>
      </c>
      <c r="E11" s="9" t="inlineStr">
        <is>
          <t>Aba 03</t>
        </is>
      </c>
      <c r="F11" s="18" t="inlineStr">
        <is>
          <t>a juntar</t>
        </is>
      </c>
    </row>
    <row r="12">
      <c r="A12" s="19" t="inlineStr">
        <is>
          <t>09</t>
        </is>
      </c>
      <c r="B12" s="9" t="inlineStr">
        <is>
          <t>Boletos escolares dos filhos</t>
        </is>
      </c>
      <c r="C12" s="9" t="inlineStr">
        <is>
          <t>anual</t>
        </is>
      </c>
      <c r="D12" s="9" t="inlineStr">
        <is>
          <t>PDF boleto</t>
        </is>
      </c>
      <c r="E12" s="9" t="inlineStr">
        <is>
          <t>Aba 05</t>
        </is>
      </c>
      <c r="F12" s="18" t="inlineStr">
        <is>
          <t>a juntar</t>
        </is>
      </c>
    </row>
    <row r="13">
      <c r="A13" s="19" t="inlineStr">
        <is>
          <t>10</t>
        </is>
      </c>
      <c r="B13" s="9" t="inlineStr">
        <is>
          <t>Contratos honorários — patrona anterior</t>
        </is>
      </c>
      <c r="C13" s="9" t="inlineStr">
        <is>
          <t>vigência integral</t>
        </is>
      </c>
      <c r="D13" s="9" t="inlineStr">
        <is>
          <t>contratos PDF</t>
        </is>
      </c>
      <c r="E13" s="9" t="inlineStr">
        <is>
          <t>Aba 06</t>
        </is>
      </c>
      <c r="F13" s="18" t="inlineStr">
        <is>
          <t>a juntar</t>
        </is>
      </c>
    </row>
    <row r="14">
      <c r="A14" s="19" t="inlineStr">
        <is>
          <t>11</t>
        </is>
      </c>
      <c r="B14" s="9" t="inlineStr">
        <is>
          <t>Contratos honorários — Dra. Michele e Dr. Luiz</t>
        </is>
      </c>
      <c r="C14" s="9" t="inlineStr">
        <is>
          <t>vigência atual</t>
        </is>
      </c>
      <c r="D14" s="9" t="inlineStr">
        <is>
          <t>contratos PDF</t>
        </is>
      </c>
      <c r="E14" s="9" t="inlineStr">
        <is>
          <t>Aba 06</t>
        </is>
      </c>
      <c r="F14" s="27" t="inlineStr">
        <is>
          <t>vigente</t>
        </is>
      </c>
    </row>
    <row r="15">
      <c r="A15" s="19" t="inlineStr">
        <is>
          <t>12</t>
        </is>
      </c>
      <c r="B15" s="9" t="inlineStr">
        <is>
          <t>Atestado psiquiátrico — Dr. Ivan Rodrigues</t>
        </is>
      </c>
      <c r="C15" s="9" t="inlineStr">
        <is>
          <t>05/05/2026</t>
        </is>
      </c>
      <c r="D15" s="9" t="inlineStr">
        <is>
          <t>PDF</t>
        </is>
      </c>
      <c r="E15" s="9" t="inlineStr">
        <is>
          <t>Aba 07</t>
        </is>
      </c>
      <c r="F15" s="27" t="inlineStr">
        <is>
          <t>documentado · Doc 11</t>
        </is>
      </c>
    </row>
    <row r="16">
      <c r="A16" s="19" t="inlineStr">
        <is>
          <t>13</t>
        </is>
      </c>
      <c r="B16" s="9" t="inlineStr">
        <is>
          <t>Recibos de medicação</t>
        </is>
      </c>
      <c r="C16" s="9" t="inlineStr">
        <is>
          <t>contínuo</t>
        </is>
      </c>
      <c r="D16" s="9" t="inlineStr">
        <is>
          <t>NFs</t>
        </is>
      </c>
      <c r="E16" s="9" t="inlineStr">
        <is>
          <t>Aba 07</t>
        </is>
      </c>
      <c r="F16" s="18" t="inlineStr">
        <is>
          <t>a juntar</t>
        </is>
      </c>
    </row>
    <row r="17">
      <c r="A17" s="19" t="inlineStr">
        <is>
          <t>14</t>
        </is>
      </c>
      <c r="B17" s="9" t="inlineStr">
        <is>
          <t>Contratos com plano de saúde + parcelas pagas</t>
        </is>
      </c>
      <c r="C17" s="9" t="inlineStr">
        <is>
          <t>histórico desde 2023</t>
        </is>
      </c>
      <c r="D17" s="9" t="inlineStr">
        <is>
          <t>contratos · boletos</t>
        </is>
      </c>
      <c r="E17" s="9" t="inlineStr">
        <is>
          <t>Aba 05 · Aba 07</t>
        </is>
      </c>
      <c r="F17" s="27" t="inlineStr">
        <is>
          <t>Proc. 1001019-83.2026</t>
        </is>
      </c>
    </row>
    <row r="18">
      <c r="A18" s="19" t="inlineStr">
        <is>
          <t>15</t>
        </is>
      </c>
      <c r="B18" s="9" t="inlineStr">
        <is>
          <t>Matrículas atualizadas dos imóveis</t>
        </is>
      </c>
      <c r="C18" s="9" t="inlineStr">
        <is>
          <t>vigente</t>
        </is>
      </c>
      <c r="D18" s="9" t="inlineStr">
        <is>
          <t>matrículas RGI</t>
        </is>
      </c>
      <c r="E18" s="9" t="inlineStr">
        <is>
          <t>Aba 04</t>
        </is>
      </c>
      <c r="F18" s="18" t="inlineStr">
        <is>
          <t>a juntar</t>
        </is>
      </c>
    </row>
    <row r="19">
      <c r="A19" s="19" t="inlineStr">
        <is>
          <t>16</t>
        </is>
      </c>
      <c r="B19" s="9" t="inlineStr">
        <is>
          <t>CRLV dos veículos</t>
        </is>
      </c>
      <c r="C19" s="9" t="inlineStr">
        <is>
          <t>vigente</t>
        </is>
      </c>
      <c r="D19" s="9" t="inlineStr">
        <is>
          <t>CRLV</t>
        </is>
      </c>
      <c r="E19" s="9" t="inlineStr">
        <is>
          <t>Aba 04</t>
        </is>
      </c>
      <c r="F19" s="18" t="inlineStr">
        <is>
          <t>a juntar</t>
        </is>
      </c>
    </row>
    <row r="20">
      <c r="A20" s="19" t="inlineStr">
        <is>
          <t>17</t>
        </is>
      </c>
      <c r="B20" s="9" t="inlineStr">
        <is>
          <t>Contratos de empréstimo / financiamento</t>
        </is>
      </c>
      <c r="C20" s="9" t="inlineStr">
        <is>
          <t>histórico</t>
        </is>
      </c>
      <c r="D20" s="9" t="inlineStr">
        <is>
          <t>contratos PDF</t>
        </is>
      </c>
      <c r="E20" s="9" t="inlineStr">
        <is>
          <t>Aba 04</t>
        </is>
      </c>
      <c r="F20" s="18" t="inlineStr">
        <is>
          <t>a juntar</t>
        </is>
      </c>
    </row>
    <row r="21">
      <c r="A21" s="19" t="inlineStr">
        <is>
          <t>18</t>
        </is>
      </c>
      <c r="B21" s="9" t="inlineStr">
        <is>
          <t>Comprovantes de despesas médicas dos filhos</t>
        </is>
      </c>
      <c r="C21" s="9" t="inlineStr">
        <is>
          <t>histórico</t>
        </is>
      </c>
      <c r="D21" s="9" t="inlineStr">
        <is>
          <t>NFs · recibos</t>
        </is>
      </c>
      <c r="E21" s="9" t="inlineStr">
        <is>
          <t>Aba 05 · Aba 07</t>
        </is>
      </c>
      <c r="F21" s="18" t="inlineStr">
        <is>
          <t>a juntar</t>
        </is>
      </c>
    </row>
    <row r="22">
      <c r="A22" s="19" t="inlineStr">
        <is>
          <t>19</t>
        </is>
      </c>
      <c r="B22" s="9" t="inlineStr">
        <is>
          <t>Notas fiscais de perícias e pareceres contratados</t>
        </is>
      </c>
      <c r="C22" s="9" t="inlineStr">
        <is>
          <t>histórico</t>
        </is>
      </c>
      <c r="D22" s="9" t="inlineStr">
        <is>
          <t>NFs</t>
        </is>
      </c>
      <c r="E22" s="9" t="inlineStr">
        <is>
          <t>Aba 06</t>
        </is>
      </c>
      <c r="F22" s="18" t="inlineStr">
        <is>
          <t>a juntar</t>
        </is>
      </c>
    </row>
    <row r="23">
      <c r="A23" s="19" t="inlineStr">
        <is>
          <t>20</t>
        </is>
      </c>
      <c r="B23" s="9" t="inlineStr">
        <is>
          <t>Planilha matricial das 16 ações judiciais</t>
        </is>
      </c>
      <c r="C23" s="9" t="inlineStr">
        <is>
          <t>atualizada</t>
        </is>
      </c>
      <c r="D23" s="9" t="inlineStr">
        <is>
          <t>XLSX</t>
        </is>
      </c>
      <c r="E23" s="9" t="inlineStr">
        <is>
          <t>Indicador 8</t>
        </is>
      </c>
      <c r="F23" s="27" t="inlineStr">
        <is>
          <t>Acoes_Millena_Onesti.xlsx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2026-06-17T17:24:38Z</dcterms:created>
  <dcterms:modified xmlns:dcterms="http://purl.org/dc/terms/" xmlns:xsi="http://www.w3.org/2001/XMLSchema-instance" xsi:type="dcterms:W3CDTF">2026-06-17T17:24:38Z</dcterms:modified>
</cp:coreProperties>
</file>